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L\04-CAF\CODES\src\locales\"/>
    </mc:Choice>
  </mc:AlternateContent>
  <xr:revisionPtr revIDLastSave="0" documentId="13_ncr:1_{0188AA06-954F-4880-8204-62161C1ED3DD}" xr6:coauthVersionLast="47" xr6:coauthVersionMax="47" xr10:uidLastSave="{00000000-0000-0000-0000-000000000000}"/>
  <bookViews>
    <workbookView xWindow="-120" yWindow="-120" windowWidth="29040" windowHeight="15720" activeTab="3" xr2:uid="{4B3E5908-DA7C-493C-800C-A53C5D3EE906}"/>
  </bookViews>
  <sheets>
    <sheet name="Barreras" sheetId="3" r:id="rId1"/>
    <sheet name="Desafios_Seguridad_Hidrica" sheetId="4" r:id="rId2"/>
    <sheet name="Desafios_Otros" sheetId="1" r:id="rId3"/>
    <sheet name="Cost" sheetId="6" r:id="rId4"/>
    <sheet name="FactorCost" sheetId="5" r:id="rId5"/>
    <sheet name="Categorias_Costos" sheetId="7" r:id="rId6"/>
    <sheet name="Matrix_CostEfe" sheetId="2" r:id="rId7"/>
    <sheet name="Cost_Fich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H2" i="8"/>
  <c r="E3" i="8"/>
  <c r="H3" i="8"/>
  <c r="E4" i="8"/>
  <c r="H4" i="8"/>
  <c r="E5" i="8"/>
  <c r="H5" i="8"/>
  <c r="E6" i="8"/>
  <c r="H6" i="8"/>
  <c r="E7" i="8"/>
  <c r="H7" i="8"/>
  <c r="E8" i="8"/>
  <c r="H8" i="8"/>
  <c r="E9" i="8"/>
  <c r="H9" i="8"/>
  <c r="E10" i="8"/>
  <c r="H10" i="8"/>
  <c r="E11" i="8"/>
  <c r="H11" i="8"/>
  <c r="E12" i="8"/>
  <c r="H12" i="8"/>
  <c r="E13" i="8"/>
  <c r="H13" i="8"/>
  <c r="E14" i="8"/>
  <c r="H14" i="8"/>
  <c r="E15" i="8"/>
  <c r="H15" i="8"/>
  <c r="E16" i="8"/>
  <c r="H16" i="8"/>
  <c r="E17" i="8"/>
  <c r="H17" i="8"/>
  <c r="E18" i="8"/>
  <c r="H18" i="8"/>
  <c r="E19" i="8"/>
  <c r="H19" i="8"/>
  <c r="E20" i="8"/>
  <c r="H20" i="8"/>
  <c r="E21" i="8"/>
  <c r="H21" i="8"/>
  <c r="E22" i="8"/>
  <c r="H22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<sst xmlns="http://schemas.openxmlformats.org/spreadsheetml/2006/main" count="251" uniqueCount="157">
  <si>
    <t>Area de Filtro Verde</t>
  </si>
  <si>
    <t>Restauración pasiva</t>
  </si>
  <si>
    <t>Cosecha de Agua</t>
  </si>
  <si>
    <t>Espacios Verdes</t>
  </si>
  <si>
    <t>Restauración activa - Enriquecimiento</t>
  </si>
  <si>
    <t>Canales Vegetados</t>
  </si>
  <si>
    <t>Humedales Artificiales</t>
  </si>
  <si>
    <t>Jardines de lluvia</t>
  </si>
  <si>
    <t>Agroforestería</t>
  </si>
  <si>
    <t>Llanuras de Inundación</t>
  </si>
  <si>
    <t>Conservación del Bosque</t>
  </si>
  <si>
    <t>Parque inundable</t>
  </si>
  <si>
    <t>Pavimentos Verdes Adaptados</t>
  </si>
  <si>
    <t>Nucleación</t>
  </si>
  <si>
    <t>Renaturalización de cuerpos de agua</t>
  </si>
  <si>
    <t>Silvicultura</t>
  </si>
  <si>
    <t>Restauración Riparia</t>
  </si>
  <si>
    <t>Techos Verdes</t>
  </si>
  <si>
    <t>Zanjas de Infiltración</t>
  </si>
  <si>
    <t>Vías ciclo-pedestres con pavimento verde</t>
  </si>
  <si>
    <t>Estaques de bioretención</t>
  </si>
  <si>
    <t>OC01</t>
  </si>
  <si>
    <t>OC02</t>
  </si>
  <si>
    <t>OC03</t>
  </si>
  <si>
    <t>OC04</t>
  </si>
  <si>
    <t>OC05</t>
  </si>
  <si>
    <t>OC06</t>
  </si>
  <si>
    <t>OC07</t>
  </si>
  <si>
    <t>OC08</t>
  </si>
  <si>
    <t>OC09</t>
  </si>
  <si>
    <t>OC10</t>
  </si>
  <si>
    <t>OC11</t>
  </si>
  <si>
    <t>OC12</t>
  </si>
  <si>
    <t>OC13</t>
  </si>
  <si>
    <t>OC14</t>
  </si>
  <si>
    <t>OC15</t>
  </si>
  <si>
    <t>OC16</t>
  </si>
  <si>
    <t>OC17</t>
  </si>
  <si>
    <t>OC18</t>
  </si>
  <si>
    <t>OC19</t>
  </si>
  <si>
    <t>OC20</t>
  </si>
  <si>
    <t>OC21</t>
  </si>
  <si>
    <t>OC22</t>
  </si>
  <si>
    <t>OC23</t>
  </si>
  <si>
    <t>OC24</t>
  </si>
  <si>
    <t>OC25</t>
  </si>
  <si>
    <t>ID</t>
  </si>
  <si>
    <t>Renaturalización</t>
  </si>
  <si>
    <t>GB0101b</t>
  </si>
  <si>
    <t>GB0101c</t>
  </si>
  <si>
    <t>GB0101d</t>
  </si>
  <si>
    <t>GB0101e</t>
  </si>
  <si>
    <t>GB0102a</t>
  </si>
  <si>
    <t>GB0102b</t>
  </si>
  <si>
    <t>GB0102c</t>
  </si>
  <si>
    <t>GB0102d</t>
  </si>
  <si>
    <t>GB0103a</t>
  </si>
  <si>
    <t>GB0103b</t>
  </si>
  <si>
    <t>GB0104a</t>
  </si>
  <si>
    <t>GB0104b</t>
  </si>
  <si>
    <t>GB0201a</t>
  </si>
  <si>
    <t>GB0201b</t>
  </si>
  <si>
    <t>GB0201c</t>
  </si>
  <si>
    <t>GB0201d</t>
  </si>
  <si>
    <t>GB0202a</t>
  </si>
  <si>
    <t>GB0301a</t>
  </si>
  <si>
    <t>GB0301b</t>
  </si>
  <si>
    <t>GB0301c</t>
  </si>
  <si>
    <t>GB0301d</t>
  </si>
  <si>
    <t>GB0301e</t>
  </si>
  <si>
    <t>GB0301f</t>
  </si>
  <si>
    <t>GB0302a</t>
  </si>
  <si>
    <t>GB0302b</t>
  </si>
  <si>
    <t>GB0302c</t>
  </si>
  <si>
    <t>GB0302d</t>
  </si>
  <si>
    <t>GB0401a</t>
  </si>
  <si>
    <t>GB0401b</t>
  </si>
  <si>
    <t>GB0401c</t>
  </si>
  <si>
    <t>GB0402a</t>
  </si>
  <si>
    <t>GB0403a</t>
  </si>
  <si>
    <t>GB0404a</t>
  </si>
  <si>
    <t>GB0501a</t>
  </si>
  <si>
    <t>GB0502a</t>
  </si>
  <si>
    <t>WS01</t>
  </si>
  <si>
    <t>WS02</t>
  </si>
  <si>
    <t>WS03</t>
  </si>
  <si>
    <t>WS04</t>
  </si>
  <si>
    <t>SbN</t>
  </si>
  <si>
    <t>Country</t>
  </si>
  <si>
    <t>Anguilla</t>
  </si>
  <si>
    <t>Antigua and Barbuda</t>
  </si>
  <si>
    <t>Argentina</t>
  </si>
  <si>
    <t>Aruba</t>
  </si>
  <si>
    <t>Bahamas</t>
  </si>
  <si>
    <t>Barbados</t>
  </si>
  <si>
    <t>Belize</t>
  </si>
  <si>
    <t>Bolivia</t>
  </si>
  <si>
    <t>Bonaire</t>
  </si>
  <si>
    <t>Brazil</t>
  </si>
  <si>
    <t>British Virgin Islands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</si>
  <si>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</si>
  <si>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</si>
  <si>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</si>
  <si>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</si>
  <si>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</si>
  <si>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</si>
  <si>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</si>
  <si>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</si>
  <si>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</si>
  <si>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</si>
  <si>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</si>
  <si>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</si>
  <si>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</si>
  <si>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</si>
  <si>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</si>
  <si>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</si>
  <si>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</si>
  <si>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Montserrat</t>
  </si>
  <si>
    <t>Nicaragua</t>
  </si>
  <si>
    <t>Panama</t>
  </si>
  <si>
    <t>Paraguay</t>
  </si>
  <si>
    <t>Peru</t>
  </si>
  <si>
    <t>Puerto Rico</t>
  </si>
  <si>
    <t>Sint Maarten (Dutch part)</t>
  </si>
  <si>
    <t>St. Kitts and Nevis</t>
  </si>
  <si>
    <t>St. Lucia</t>
  </si>
  <si>
    <t>St. Martin (French part)</t>
  </si>
  <si>
    <t>St. Vincent and the Grenadines</t>
  </si>
  <si>
    <t>Suriname</t>
  </si>
  <si>
    <t>Trinidad and Tobago</t>
  </si>
  <si>
    <t>Turks and Caicos Islands</t>
  </si>
  <si>
    <t>Uruguay</t>
  </si>
  <si>
    <t>Venezuela</t>
  </si>
  <si>
    <t>Virgin Islands (U.S.)</t>
  </si>
  <si>
    <t>Latin America &amp; Caribbean</t>
  </si>
  <si>
    <t>World</t>
  </si>
  <si>
    <t>Multiplier Factor Global</t>
  </si>
  <si>
    <t>SnB</t>
  </si>
  <si>
    <t>Cost_Min_Inv</t>
  </si>
  <si>
    <t>Cost_Max_Inv</t>
  </si>
  <si>
    <t>Cost_Mean_Inv</t>
  </si>
  <si>
    <t>Cost_Min_M</t>
  </si>
  <si>
    <t>Cost_Max_M</t>
  </si>
  <si>
    <t>Cost_Mean_M</t>
  </si>
  <si>
    <t>Cost_Min_Total</t>
  </si>
  <si>
    <t>Cost_Max_Total</t>
  </si>
  <si>
    <t>Cost_Mean_Total</t>
  </si>
  <si>
    <t>Categoria</t>
  </si>
  <si>
    <t>Inv_Min</t>
  </si>
  <si>
    <t>Inv_Max</t>
  </si>
  <si>
    <t>Man_Min</t>
  </si>
  <si>
    <t>Man_Max</t>
  </si>
  <si>
    <t>Total_Min</t>
  </si>
  <si>
    <t>Total_Max</t>
  </si>
  <si>
    <t>Cat_Costo</t>
  </si>
  <si>
    <t>Cat_Desafio</t>
  </si>
  <si>
    <t>New_Cat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</si>
</sst>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2" tint="-0.74999237037263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9EB8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0" xfId="0" applyFont="1"/>
    <xf numFmtId="0" fontId="3" fillId="4" borderId="20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799F-781B-4DB2-BB73-D5DFE8B7C60A}">
  <dimension ref="A1:AK22"/>
  <sheetViews>
    <sheetView workbookViewId="0">
      <selection activeCell="B30" sqref="B30"/>
    </sheetView>
  </sheetViews>
  <sheetFormatPr baseColWidth="10" defaultRowHeight="15" x14ac:dyDescent="0.25"/>
  <cols>
    <col min="2" max="2" width="40.7109375" bestFit="1" customWidth="1"/>
  </cols>
  <sheetData>
    <row r="1" spans="1:37" x14ac:dyDescent="0.25">
      <c r="A1" s="4" t="s">
        <v>46</v>
      </c>
      <c r="B1" s="4" t="s">
        <v>87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  <c r="AA1" s="4" t="s">
        <v>72</v>
      </c>
      <c r="AB1" s="4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  <c r="AJ1" s="4" t="s">
        <v>81</v>
      </c>
      <c r="AK1" s="4" t="s">
        <v>82</v>
      </c>
    </row>
    <row r="2" spans="1:37" x14ac:dyDescent="0.25">
      <c r="A2" s="3">
        <v>1</v>
      </c>
      <c r="B2" s="3" t="s">
        <v>10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2</v>
      </c>
      <c r="P2" s="5">
        <v>2</v>
      </c>
      <c r="Q2" s="5">
        <v>2</v>
      </c>
      <c r="R2" s="5">
        <v>2</v>
      </c>
      <c r="S2" s="5">
        <v>2</v>
      </c>
      <c r="T2" s="5">
        <v>3</v>
      </c>
      <c r="U2" s="5">
        <v>3</v>
      </c>
      <c r="V2" s="5">
        <v>3</v>
      </c>
      <c r="W2" s="5">
        <v>3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2</v>
      </c>
      <c r="AE2" s="5">
        <v>2</v>
      </c>
      <c r="AF2" s="5">
        <v>2</v>
      </c>
      <c r="AG2" s="5">
        <v>2</v>
      </c>
      <c r="AH2" s="5">
        <v>2</v>
      </c>
      <c r="AI2" s="5">
        <v>2</v>
      </c>
      <c r="AJ2" s="5">
        <v>3</v>
      </c>
      <c r="AK2" s="5">
        <v>3</v>
      </c>
    </row>
    <row r="3" spans="1:37" x14ac:dyDescent="0.25">
      <c r="A3" s="3">
        <v>2</v>
      </c>
      <c r="B3" s="3" t="s">
        <v>1</v>
      </c>
      <c r="C3" s="5">
        <v>2</v>
      </c>
      <c r="D3" s="5">
        <v>2</v>
      </c>
      <c r="E3" s="5">
        <v>2</v>
      </c>
      <c r="F3" s="5">
        <v>2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5">
        <v>2</v>
      </c>
      <c r="M3" s="5">
        <v>2</v>
      </c>
      <c r="N3" s="5">
        <v>2</v>
      </c>
      <c r="O3" s="5">
        <v>3</v>
      </c>
      <c r="P3" s="5">
        <v>3</v>
      </c>
      <c r="Q3" s="5">
        <v>3</v>
      </c>
      <c r="R3" s="5">
        <v>3</v>
      </c>
      <c r="S3" s="5">
        <v>3</v>
      </c>
      <c r="T3" s="5">
        <v>2</v>
      </c>
      <c r="U3" s="5">
        <v>2</v>
      </c>
      <c r="V3" s="5">
        <v>2</v>
      </c>
      <c r="W3" s="5">
        <v>2</v>
      </c>
      <c r="X3" s="5">
        <v>2</v>
      </c>
      <c r="Y3" s="5">
        <v>2</v>
      </c>
      <c r="Z3" s="5">
        <v>2</v>
      </c>
      <c r="AA3" s="5">
        <v>2</v>
      </c>
      <c r="AB3" s="5">
        <v>2</v>
      </c>
      <c r="AC3" s="5">
        <v>2</v>
      </c>
      <c r="AD3" s="5">
        <v>3</v>
      </c>
      <c r="AE3" s="5">
        <v>3</v>
      </c>
      <c r="AF3" s="5">
        <v>3</v>
      </c>
      <c r="AG3" s="5">
        <v>3</v>
      </c>
      <c r="AH3" s="5">
        <v>3</v>
      </c>
      <c r="AI3" s="5">
        <v>3</v>
      </c>
      <c r="AJ3" s="5">
        <v>1</v>
      </c>
      <c r="AK3" s="5">
        <v>1</v>
      </c>
    </row>
    <row r="4" spans="1:37" x14ac:dyDescent="0.25">
      <c r="A4" s="3">
        <v>3</v>
      </c>
      <c r="B4" s="3" t="s">
        <v>4</v>
      </c>
      <c r="C4" s="5">
        <v>3</v>
      </c>
      <c r="D4" s="5">
        <v>3</v>
      </c>
      <c r="E4" s="5">
        <v>3</v>
      </c>
      <c r="F4" s="5">
        <v>3</v>
      </c>
      <c r="G4" s="5">
        <v>3</v>
      </c>
      <c r="H4" s="5">
        <v>3</v>
      </c>
      <c r="I4" s="5">
        <v>3</v>
      </c>
      <c r="J4" s="5">
        <v>3</v>
      </c>
      <c r="K4" s="5">
        <v>3</v>
      </c>
      <c r="L4" s="5">
        <v>3</v>
      </c>
      <c r="M4" s="5">
        <v>3</v>
      </c>
      <c r="N4" s="5">
        <v>3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2</v>
      </c>
      <c r="W4" s="5">
        <v>2</v>
      </c>
      <c r="X4" s="5">
        <v>2</v>
      </c>
      <c r="Y4" s="5">
        <v>2</v>
      </c>
      <c r="Z4" s="5">
        <v>2</v>
      </c>
      <c r="AA4" s="5">
        <v>2</v>
      </c>
      <c r="AB4" s="5">
        <v>2</v>
      </c>
      <c r="AC4" s="5">
        <v>2</v>
      </c>
      <c r="AD4" s="5">
        <v>3</v>
      </c>
      <c r="AE4" s="5">
        <v>3</v>
      </c>
      <c r="AF4" s="5">
        <v>3</v>
      </c>
      <c r="AG4" s="5">
        <v>3</v>
      </c>
      <c r="AH4" s="5">
        <v>3</v>
      </c>
      <c r="AI4" s="5">
        <v>3</v>
      </c>
      <c r="AJ4" s="5">
        <v>3</v>
      </c>
      <c r="AK4" s="5">
        <v>3</v>
      </c>
    </row>
    <row r="5" spans="1:37" x14ac:dyDescent="0.25">
      <c r="A5" s="3">
        <v>4</v>
      </c>
      <c r="B5" s="3" t="s">
        <v>13</v>
      </c>
      <c r="C5" s="5">
        <v>3</v>
      </c>
      <c r="D5" s="5">
        <v>3</v>
      </c>
      <c r="E5" s="5">
        <v>3</v>
      </c>
      <c r="F5" s="5">
        <v>3</v>
      </c>
      <c r="G5" s="5">
        <v>3</v>
      </c>
      <c r="H5" s="5">
        <v>3</v>
      </c>
      <c r="I5" s="5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3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3</v>
      </c>
      <c r="AA5" s="5">
        <v>3</v>
      </c>
      <c r="AB5" s="5">
        <v>3</v>
      </c>
      <c r="AC5" s="5">
        <v>3</v>
      </c>
      <c r="AD5" s="5">
        <v>2</v>
      </c>
      <c r="AE5" s="5">
        <v>2</v>
      </c>
      <c r="AF5" s="5">
        <v>2</v>
      </c>
      <c r="AG5" s="5">
        <v>2</v>
      </c>
      <c r="AH5" s="5">
        <v>2</v>
      </c>
      <c r="AI5" s="5">
        <v>2</v>
      </c>
      <c r="AJ5" s="5">
        <v>2</v>
      </c>
      <c r="AK5" s="5">
        <v>2</v>
      </c>
    </row>
    <row r="6" spans="1:37" x14ac:dyDescent="0.25">
      <c r="A6" s="3">
        <v>5</v>
      </c>
      <c r="B6" s="3" t="s">
        <v>16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3</v>
      </c>
      <c r="AB6" s="5">
        <v>3</v>
      </c>
      <c r="AC6" s="5">
        <v>3</v>
      </c>
      <c r="AD6" s="5">
        <v>2</v>
      </c>
      <c r="AE6" s="5">
        <v>2</v>
      </c>
      <c r="AF6" s="5">
        <v>2</v>
      </c>
      <c r="AG6" s="5">
        <v>2</v>
      </c>
      <c r="AH6" s="5">
        <v>2</v>
      </c>
      <c r="AI6" s="5">
        <v>2</v>
      </c>
      <c r="AJ6" s="5">
        <v>3</v>
      </c>
      <c r="AK6" s="5">
        <v>3</v>
      </c>
    </row>
    <row r="7" spans="1:37" x14ac:dyDescent="0.25">
      <c r="A7" s="3">
        <v>6</v>
      </c>
      <c r="B7" s="3" t="s">
        <v>9</v>
      </c>
      <c r="C7" s="5">
        <v>3</v>
      </c>
      <c r="D7" s="5">
        <v>3</v>
      </c>
      <c r="E7" s="5">
        <v>3</v>
      </c>
      <c r="F7" s="5">
        <v>3</v>
      </c>
      <c r="G7" s="5">
        <v>3</v>
      </c>
      <c r="H7" s="5">
        <v>3</v>
      </c>
      <c r="I7" s="5">
        <v>3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3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5">
        <v>3</v>
      </c>
      <c r="AA7" s="5">
        <v>3</v>
      </c>
      <c r="AB7" s="5">
        <v>3</v>
      </c>
      <c r="AC7" s="5">
        <v>3</v>
      </c>
      <c r="AD7" s="5">
        <v>4</v>
      </c>
      <c r="AE7" s="5">
        <v>4</v>
      </c>
      <c r="AF7" s="5">
        <v>4</v>
      </c>
      <c r="AG7" s="5">
        <v>4</v>
      </c>
      <c r="AH7" s="5">
        <v>4</v>
      </c>
      <c r="AI7" s="5">
        <v>4</v>
      </c>
      <c r="AJ7" s="5">
        <v>3</v>
      </c>
      <c r="AK7" s="5">
        <v>3</v>
      </c>
    </row>
    <row r="8" spans="1:37" x14ac:dyDescent="0.25">
      <c r="A8" s="3">
        <v>7</v>
      </c>
      <c r="B8" s="3" t="s">
        <v>47</v>
      </c>
      <c r="C8" s="5">
        <v>3</v>
      </c>
      <c r="D8" s="5">
        <v>3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3</v>
      </c>
      <c r="U8" s="5">
        <v>3</v>
      </c>
      <c r="V8" s="5">
        <v>3</v>
      </c>
      <c r="W8" s="5">
        <v>3</v>
      </c>
      <c r="X8" s="5">
        <v>3</v>
      </c>
      <c r="Y8" s="5">
        <v>3</v>
      </c>
      <c r="Z8" s="5">
        <v>3</v>
      </c>
      <c r="AA8" s="5">
        <v>3</v>
      </c>
      <c r="AB8" s="5">
        <v>3</v>
      </c>
      <c r="AC8" s="5">
        <v>3</v>
      </c>
      <c r="AD8" s="5">
        <v>2</v>
      </c>
      <c r="AE8" s="5">
        <v>2</v>
      </c>
      <c r="AF8" s="5">
        <v>2</v>
      </c>
      <c r="AG8" s="5">
        <v>2</v>
      </c>
      <c r="AH8" s="5">
        <v>2</v>
      </c>
      <c r="AI8" s="5">
        <v>2</v>
      </c>
      <c r="AJ8" s="5">
        <v>3</v>
      </c>
      <c r="AK8" s="5">
        <v>3</v>
      </c>
    </row>
    <row r="9" spans="1:37" x14ac:dyDescent="0.25">
      <c r="A9" s="3">
        <v>8</v>
      </c>
      <c r="B9" s="3" t="s">
        <v>0</v>
      </c>
      <c r="C9" s="5">
        <v>3</v>
      </c>
      <c r="D9" s="5">
        <v>3</v>
      </c>
      <c r="E9" s="5">
        <v>3</v>
      </c>
      <c r="F9" s="5">
        <v>3</v>
      </c>
      <c r="G9" s="5">
        <v>3</v>
      </c>
      <c r="H9" s="5">
        <v>3</v>
      </c>
      <c r="I9" s="5">
        <v>3</v>
      </c>
      <c r="J9" s="5">
        <v>3</v>
      </c>
      <c r="K9" s="5">
        <v>3</v>
      </c>
      <c r="L9" s="5">
        <v>3</v>
      </c>
      <c r="M9" s="5">
        <v>3</v>
      </c>
      <c r="N9" s="5">
        <v>3</v>
      </c>
      <c r="O9" s="5">
        <v>3</v>
      </c>
      <c r="P9" s="5">
        <v>3</v>
      </c>
      <c r="Q9" s="5">
        <v>3</v>
      </c>
      <c r="R9" s="5">
        <v>3</v>
      </c>
      <c r="S9" s="5">
        <v>3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5">
        <v>2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5">
        <v>2</v>
      </c>
      <c r="AG9" s="5">
        <v>2</v>
      </c>
      <c r="AH9" s="5">
        <v>2</v>
      </c>
      <c r="AI9" s="5">
        <v>2</v>
      </c>
      <c r="AJ9" s="5">
        <v>3</v>
      </c>
      <c r="AK9" s="5">
        <v>3</v>
      </c>
    </row>
    <row r="10" spans="1:37" x14ac:dyDescent="0.25">
      <c r="A10" s="3">
        <v>9</v>
      </c>
      <c r="B10" s="3" t="s">
        <v>5</v>
      </c>
      <c r="C10" s="5">
        <v>3</v>
      </c>
      <c r="D10" s="5">
        <v>3</v>
      </c>
      <c r="E10" s="5">
        <v>3</v>
      </c>
      <c r="F10" s="5">
        <v>3</v>
      </c>
      <c r="G10" s="5">
        <v>3</v>
      </c>
      <c r="H10" s="5">
        <v>3</v>
      </c>
      <c r="I10" s="5">
        <v>3</v>
      </c>
      <c r="J10" s="5">
        <v>3</v>
      </c>
      <c r="K10" s="5">
        <v>3</v>
      </c>
      <c r="L10" s="5">
        <v>3</v>
      </c>
      <c r="M10" s="5">
        <v>3</v>
      </c>
      <c r="N10" s="5">
        <v>3</v>
      </c>
      <c r="O10" s="5">
        <v>3</v>
      </c>
      <c r="P10" s="5">
        <v>3</v>
      </c>
      <c r="Q10" s="5">
        <v>3</v>
      </c>
      <c r="R10" s="5">
        <v>3</v>
      </c>
      <c r="S10" s="5">
        <v>3</v>
      </c>
      <c r="T10" s="5">
        <v>3</v>
      </c>
      <c r="U10" s="5">
        <v>3</v>
      </c>
      <c r="V10" s="5">
        <v>3</v>
      </c>
      <c r="W10" s="5">
        <v>3</v>
      </c>
      <c r="X10" s="5">
        <v>3</v>
      </c>
      <c r="Y10" s="5">
        <v>3</v>
      </c>
      <c r="Z10" s="5">
        <v>3</v>
      </c>
      <c r="AA10" s="5">
        <v>3</v>
      </c>
      <c r="AB10" s="5">
        <v>3</v>
      </c>
      <c r="AC10" s="5">
        <v>3</v>
      </c>
      <c r="AD10" s="5">
        <v>3</v>
      </c>
      <c r="AE10" s="5">
        <v>3</v>
      </c>
      <c r="AF10" s="5">
        <v>3</v>
      </c>
      <c r="AG10" s="5">
        <v>3</v>
      </c>
      <c r="AH10" s="5">
        <v>3</v>
      </c>
      <c r="AI10" s="5">
        <v>3</v>
      </c>
      <c r="AJ10" s="5">
        <v>3</v>
      </c>
      <c r="AK10" s="5">
        <v>3</v>
      </c>
    </row>
    <row r="11" spans="1:37" x14ac:dyDescent="0.25">
      <c r="A11" s="3">
        <v>10</v>
      </c>
      <c r="B11" s="3" t="s">
        <v>20</v>
      </c>
      <c r="C11" s="5">
        <v>3</v>
      </c>
      <c r="D11" s="5">
        <v>3</v>
      </c>
      <c r="E11" s="5">
        <v>3</v>
      </c>
      <c r="F11" s="5">
        <v>3</v>
      </c>
      <c r="G11" s="5">
        <v>3</v>
      </c>
      <c r="H11" s="5">
        <v>3</v>
      </c>
      <c r="I11" s="5">
        <v>3</v>
      </c>
      <c r="J11" s="5">
        <v>3</v>
      </c>
      <c r="K11" s="5">
        <v>3</v>
      </c>
      <c r="L11" s="5">
        <v>3</v>
      </c>
      <c r="M11" s="5">
        <v>3</v>
      </c>
      <c r="N11" s="5">
        <v>3</v>
      </c>
      <c r="O11" s="5">
        <v>2</v>
      </c>
      <c r="P11" s="5">
        <v>2</v>
      </c>
      <c r="Q11" s="5">
        <v>2</v>
      </c>
      <c r="R11" s="5">
        <v>2</v>
      </c>
      <c r="S11" s="5">
        <v>2</v>
      </c>
      <c r="T11" s="5">
        <v>3</v>
      </c>
      <c r="U11" s="5">
        <v>3</v>
      </c>
      <c r="V11" s="5">
        <v>3</v>
      </c>
      <c r="W11" s="5">
        <v>3</v>
      </c>
      <c r="X11" s="5">
        <v>3</v>
      </c>
      <c r="Y11" s="5">
        <v>3</v>
      </c>
      <c r="Z11" s="5">
        <v>3</v>
      </c>
      <c r="AA11" s="5">
        <v>3</v>
      </c>
      <c r="AB11" s="5">
        <v>3</v>
      </c>
      <c r="AC11" s="5">
        <v>3</v>
      </c>
      <c r="AD11" s="5">
        <v>3</v>
      </c>
      <c r="AE11" s="5">
        <v>3</v>
      </c>
      <c r="AF11" s="5">
        <v>3</v>
      </c>
      <c r="AG11" s="5">
        <v>3</v>
      </c>
      <c r="AH11" s="5">
        <v>3</v>
      </c>
      <c r="AI11" s="5">
        <v>3</v>
      </c>
      <c r="AJ11" s="5">
        <v>3</v>
      </c>
      <c r="AK11" s="5">
        <v>3</v>
      </c>
    </row>
    <row r="12" spans="1:37" x14ac:dyDescent="0.25">
      <c r="A12" s="3">
        <v>11</v>
      </c>
      <c r="B12" s="3" t="s">
        <v>6</v>
      </c>
      <c r="C12" s="5">
        <v>2</v>
      </c>
      <c r="D12" s="5">
        <v>2</v>
      </c>
      <c r="E12" s="5">
        <v>2</v>
      </c>
      <c r="F12" s="5">
        <v>2</v>
      </c>
      <c r="G12" s="5">
        <v>2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2</v>
      </c>
      <c r="U12" s="5">
        <v>2</v>
      </c>
      <c r="V12" s="5">
        <v>2</v>
      </c>
      <c r="W12" s="5">
        <v>2</v>
      </c>
      <c r="X12" s="5">
        <v>2</v>
      </c>
      <c r="Y12" s="5">
        <v>2</v>
      </c>
      <c r="Z12" s="5">
        <v>2</v>
      </c>
      <c r="AA12" s="5">
        <v>2</v>
      </c>
      <c r="AB12" s="5">
        <v>2</v>
      </c>
      <c r="AC12" s="5">
        <v>2</v>
      </c>
      <c r="AD12" s="5">
        <v>2</v>
      </c>
      <c r="AE12" s="5">
        <v>2</v>
      </c>
      <c r="AF12" s="5">
        <v>2</v>
      </c>
      <c r="AG12" s="5">
        <v>2</v>
      </c>
      <c r="AH12" s="5">
        <v>2</v>
      </c>
      <c r="AI12" s="5">
        <v>2</v>
      </c>
      <c r="AJ12" s="5">
        <v>2</v>
      </c>
      <c r="AK12" s="5">
        <v>2</v>
      </c>
    </row>
    <row r="13" spans="1:37" x14ac:dyDescent="0.25">
      <c r="A13" s="3">
        <v>12</v>
      </c>
      <c r="B13" s="3" t="s">
        <v>7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2</v>
      </c>
      <c r="V13" s="5">
        <v>2</v>
      </c>
      <c r="W13" s="5">
        <v>2</v>
      </c>
      <c r="X13" s="5">
        <v>2</v>
      </c>
      <c r="Y13" s="5">
        <v>2</v>
      </c>
      <c r="Z13" s="5">
        <v>2</v>
      </c>
      <c r="AA13" s="5">
        <v>2</v>
      </c>
      <c r="AB13" s="5">
        <v>2</v>
      </c>
      <c r="AC13" s="5">
        <v>2</v>
      </c>
      <c r="AD13" s="5">
        <v>2</v>
      </c>
      <c r="AE13" s="5">
        <v>2</v>
      </c>
      <c r="AF13" s="5">
        <v>2</v>
      </c>
      <c r="AG13" s="5">
        <v>2</v>
      </c>
      <c r="AH13" s="5">
        <v>2</v>
      </c>
      <c r="AI13" s="5">
        <v>2</v>
      </c>
      <c r="AJ13" s="5">
        <v>3</v>
      </c>
      <c r="AK13" s="5">
        <v>3</v>
      </c>
    </row>
    <row r="14" spans="1:37" x14ac:dyDescent="0.25">
      <c r="A14" s="3">
        <v>13</v>
      </c>
      <c r="B14" s="3" t="s">
        <v>18</v>
      </c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5">
        <v>3</v>
      </c>
      <c r="K14" s="5">
        <v>3</v>
      </c>
      <c r="L14" s="5">
        <v>3</v>
      </c>
      <c r="M14" s="5">
        <v>3</v>
      </c>
      <c r="N14" s="5">
        <v>3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2</v>
      </c>
      <c r="U14" s="5">
        <v>2</v>
      </c>
      <c r="V14" s="5">
        <v>2</v>
      </c>
      <c r="W14" s="5">
        <v>2</v>
      </c>
      <c r="X14" s="5">
        <v>2</v>
      </c>
      <c r="Y14" s="5">
        <v>2</v>
      </c>
      <c r="Z14" s="5">
        <v>2</v>
      </c>
      <c r="AA14" s="5">
        <v>2</v>
      </c>
      <c r="AB14" s="5">
        <v>2</v>
      </c>
      <c r="AC14" s="5">
        <v>2</v>
      </c>
      <c r="AD14" s="5">
        <v>2</v>
      </c>
      <c r="AE14" s="5">
        <v>2</v>
      </c>
      <c r="AF14" s="5">
        <v>2</v>
      </c>
      <c r="AG14" s="5">
        <v>2</v>
      </c>
      <c r="AH14" s="5">
        <v>2</v>
      </c>
      <c r="AI14" s="5">
        <v>2</v>
      </c>
      <c r="AJ14" s="5">
        <v>3</v>
      </c>
      <c r="AK14" s="5">
        <v>3</v>
      </c>
    </row>
    <row r="15" spans="1:37" x14ac:dyDescent="0.25">
      <c r="A15" s="3">
        <v>14</v>
      </c>
      <c r="B15" s="3" t="s">
        <v>3</v>
      </c>
      <c r="C15" s="5">
        <v>2</v>
      </c>
      <c r="D15" s="5">
        <v>2</v>
      </c>
      <c r="E15" s="5">
        <v>2</v>
      </c>
      <c r="F15" s="5">
        <v>2</v>
      </c>
      <c r="G15" s="5">
        <v>2</v>
      </c>
      <c r="H15" s="5">
        <v>2</v>
      </c>
      <c r="I15" s="5">
        <v>2</v>
      </c>
      <c r="J15" s="5">
        <v>2</v>
      </c>
      <c r="K15" s="5">
        <v>2</v>
      </c>
      <c r="L15" s="5">
        <v>2</v>
      </c>
      <c r="M15" s="5">
        <v>2</v>
      </c>
      <c r="N15" s="5">
        <v>2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3</v>
      </c>
      <c r="U15" s="5">
        <v>3</v>
      </c>
      <c r="V15" s="5">
        <v>3</v>
      </c>
      <c r="W15" s="5">
        <v>3</v>
      </c>
      <c r="X15" s="5">
        <v>3</v>
      </c>
      <c r="Y15" s="5">
        <v>3</v>
      </c>
      <c r="Z15" s="5">
        <v>3</v>
      </c>
      <c r="AA15" s="5">
        <v>3</v>
      </c>
      <c r="AB15" s="5">
        <v>3</v>
      </c>
      <c r="AC15" s="5">
        <v>3</v>
      </c>
      <c r="AD15" s="5">
        <v>2</v>
      </c>
      <c r="AE15" s="5">
        <v>2</v>
      </c>
      <c r="AF15" s="5">
        <v>2</v>
      </c>
      <c r="AG15" s="5">
        <v>2</v>
      </c>
      <c r="AH15" s="5">
        <v>2</v>
      </c>
      <c r="AI15" s="5">
        <v>2</v>
      </c>
      <c r="AJ15" s="5">
        <v>3</v>
      </c>
      <c r="AK15" s="5">
        <v>3</v>
      </c>
    </row>
    <row r="16" spans="1:37" x14ac:dyDescent="0.25">
      <c r="A16" s="3">
        <v>15</v>
      </c>
      <c r="B16" s="3" t="s">
        <v>11</v>
      </c>
      <c r="C16" s="5">
        <v>3</v>
      </c>
      <c r="D16" s="5">
        <v>3</v>
      </c>
      <c r="E16" s="5">
        <v>3</v>
      </c>
      <c r="F16" s="5">
        <v>3</v>
      </c>
      <c r="G16" s="5">
        <v>3</v>
      </c>
      <c r="H16" s="5">
        <v>3</v>
      </c>
      <c r="I16" s="5">
        <v>3</v>
      </c>
      <c r="J16" s="5">
        <v>3</v>
      </c>
      <c r="K16" s="5">
        <v>3</v>
      </c>
      <c r="L16" s="5">
        <v>3</v>
      </c>
      <c r="M16" s="5">
        <v>3</v>
      </c>
      <c r="N16" s="5">
        <v>3</v>
      </c>
      <c r="O16" s="5">
        <v>3</v>
      </c>
      <c r="P16" s="5">
        <v>3</v>
      </c>
      <c r="Q16" s="5">
        <v>3</v>
      </c>
      <c r="R16" s="5">
        <v>3</v>
      </c>
      <c r="S16" s="5">
        <v>3</v>
      </c>
      <c r="T16" s="5">
        <v>3</v>
      </c>
      <c r="U16" s="5">
        <v>3</v>
      </c>
      <c r="V16" s="5">
        <v>3</v>
      </c>
      <c r="W16" s="5">
        <v>3</v>
      </c>
      <c r="X16" s="5">
        <v>3</v>
      </c>
      <c r="Y16" s="5">
        <v>3</v>
      </c>
      <c r="Z16" s="5">
        <v>3</v>
      </c>
      <c r="AA16" s="5">
        <v>3</v>
      </c>
      <c r="AB16" s="5">
        <v>3</v>
      </c>
      <c r="AC16" s="5">
        <v>3</v>
      </c>
      <c r="AD16" s="5">
        <v>2</v>
      </c>
      <c r="AE16" s="5">
        <v>2</v>
      </c>
      <c r="AF16" s="5">
        <v>2</v>
      </c>
      <c r="AG16" s="5">
        <v>2</v>
      </c>
      <c r="AH16" s="5">
        <v>2</v>
      </c>
      <c r="AI16" s="5">
        <v>2</v>
      </c>
      <c r="AJ16" s="5">
        <v>3</v>
      </c>
      <c r="AK16" s="5">
        <v>3</v>
      </c>
    </row>
    <row r="17" spans="1:37" x14ac:dyDescent="0.25">
      <c r="A17" s="3">
        <v>16</v>
      </c>
      <c r="B17" s="3" t="s">
        <v>12</v>
      </c>
      <c r="C17" s="5">
        <v>3</v>
      </c>
      <c r="D17" s="5">
        <v>3</v>
      </c>
      <c r="E17" s="5">
        <v>3</v>
      </c>
      <c r="F17" s="5">
        <v>3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v>3</v>
      </c>
      <c r="N17" s="5">
        <v>3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3</v>
      </c>
      <c r="U17" s="5">
        <v>3</v>
      </c>
      <c r="V17" s="5">
        <v>3</v>
      </c>
      <c r="W17" s="5">
        <v>3</v>
      </c>
      <c r="X17" s="5">
        <v>3</v>
      </c>
      <c r="Y17" s="5">
        <v>3</v>
      </c>
      <c r="Z17" s="5">
        <v>3</v>
      </c>
      <c r="AA17" s="5">
        <v>3</v>
      </c>
      <c r="AB17" s="5">
        <v>3</v>
      </c>
      <c r="AC17" s="5">
        <v>3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2</v>
      </c>
      <c r="AK17" s="5">
        <v>2</v>
      </c>
    </row>
    <row r="18" spans="1:37" x14ac:dyDescent="0.25">
      <c r="A18" s="3">
        <v>17</v>
      </c>
      <c r="B18" s="3" t="s">
        <v>15</v>
      </c>
      <c r="C18" s="5">
        <v>3</v>
      </c>
      <c r="D18" s="5">
        <v>3</v>
      </c>
      <c r="E18" s="5">
        <v>3</v>
      </c>
      <c r="F18" s="5">
        <v>3</v>
      </c>
      <c r="G18" s="5">
        <v>3</v>
      </c>
      <c r="H18" s="5">
        <v>3</v>
      </c>
      <c r="I18" s="5">
        <v>3</v>
      </c>
      <c r="J18" s="5">
        <v>3</v>
      </c>
      <c r="K18" s="5">
        <v>3</v>
      </c>
      <c r="L18" s="5">
        <v>3</v>
      </c>
      <c r="M18" s="5">
        <v>3</v>
      </c>
      <c r="N18" s="5">
        <v>3</v>
      </c>
      <c r="O18" s="5">
        <v>2</v>
      </c>
      <c r="P18" s="5">
        <v>2</v>
      </c>
      <c r="Q18" s="5">
        <v>2</v>
      </c>
      <c r="R18" s="5">
        <v>2</v>
      </c>
      <c r="S18" s="5">
        <v>2</v>
      </c>
      <c r="T18" s="5">
        <v>2</v>
      </c>
      <c r="U18" s="5">
        <v>2</v>
      </c>
      <c r="V18" s="5">
        <v>2</v>
      </c>
      <c r="W18" s="5">
        <v>2</v>
      </c>
      <c r="X18" s="5">
        <v>2</v>
      </c>
      <c r="Y18" s="5">
        <v>2</v>
      </c>
      <c r="Z18" s="5">
        <v>2</v>
      </c>
      <c r="AA18" s="5">
        <v>2</v>
      </c>
      <c r="AB18" s="5">
        <v>2</v>
      </c>
      <c r="AC18" s="5">
        <v>2</v>
      </c>
      <c r="AD18" s="5">
        <v>2</v>
      </c>
      <c r="AE18" s="5">
        <v>2</v>
      </c>
      <c r="AF18" s="5">
        <v>2</v>
      </c>
      <c r="AG18" s="5">
        <v>2</v>
      </c>
      <c r="AH18" s="5">
        <v>2</v>
      </c>
      <c r="AI18" s="5">
        <v>2</v>
      </c>
      <c r="AJ18" s="5">
        <v>3</v>
      </c>
      <c r="AK18" s="5">
        <v>3</v>
      </c>
    </row>
    <row r="19" spans="1:37" x14ac:dyDescent="0.25">
      <c r="A19" s="3">
        <v>18</v>
      </c>
      <c r="B19" s="3" t="s">
        <v>17</v>
      </c>
      <c r="C19" s="5">
        <v>2</v>
      </c>
      <c r="D19" s="5">
        <v>2</v>
      </c>
      <c r="E19" s="5">
        <v>2</v>
      </c>
      <c r="F19" s="5">
        <v>2</v>
      </c>
      <c r="G19" s="5">
        <v>2</v>
      </c>
      <c r="H19" s="5">
        <v>2</v>
      </c>
      <c r="I19" s="5">
        <v>2</v>
      </c>
      <c r="J19" s="5">
        <v>2</v>
      </c>
      <c r="K19" s="5">
        <v>2</v>
      </c>
      <c r="L19" s="5">
        <v>2</v>
      </c>
      <c r="M19" s="5">
        <v>2</v>
      </c>
      <c r="N19" s="5">
        <v>2</v>
      </c>
      <c r="O19" s="5">
        <v>3</v>
      </c>
      <c r="P19" s="5">
        <v>3</v>
      </c>
      <c r="Q19" s="5">
        <v>3</v>
      </c>
      <c r="R19" s="5">
        <v>3</v>
      </c>
      <c r="S19" s="5">
        <v>3</v>
      </c>
      <c r="T19" s="5">
        <v>3</v>
      </c>
      <c r="U19" s="5">
        <v>3</v>
      </c>
      <c r="V19" s="5">
        <v>3</v>
      </c>
      <c r="W19" s="5">
        <v>3</v>
      </c>
      <c r="X19" s="5">
        <v>3</v>
      </c>
      <c r="Y19" s="5">
        <v>3</v>
      </c>
      <c r="Z19" s="5">
        <v>3</v>
      </c>
      <c r="AA19" s="5">
        <v>3</v>
      </c>
      <c r="AB19" s="5">
        <v>3</v>
      </c>
      <c r="AC19" s="5">
        <v>3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3</v>
      </c>
      <c r="AK19" s="5">
        <v>3</v>
      </c>
    </row>
    <row r="20" spans="1:37" x14ac:dyDescent="0.25">
      <c r="A20" s="3">
        <v>19</v>
      </c>
      <c r="B20" s="3" t="s">
        <v>19</v>
      </c>
      <c r="C20" s="5">
        <v>3</v>
      </c>
      <c r="D20" s="5">
        <v>3</v>
      </c>
      <c r="E20" s="5">
        <v>3</v>
      </c>
      <c r="F20" s="5">
        <v>3</v>
      </c>
      <c r="G20" s="5">
        <v>3</v>
      </c>
      <c r="H20" s="5">
        <v>3</v>
      </c>
      <c r="I20" s="5">
        <v>3</v>
      </c>
      <c r="J20" s="5">
        <v>3</v>
      </c>
      <c r="K20" s="5">
        <v>3</v>
      </c>
      <c r="L20" s="5">
        <v>3</v>
      </c>
      <c r="M20" s="5">
        <v>3</v>
      </c>
      <c r="N20" s="5">
        <v>3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3</v>
      </c>
      <c r="U20" s="5">
        <v>3</v>
      </c>
      <c r="V20" s="5">
        <v>3</v>
      </c>
      <c r="W20" s="5">
        <v>3</v>
      </c>
      <c r="X20" s="5">
        <v>3</v>
      </c>
      <c r="Y20" s="5">
        <v>3</v>
      </c>
      <c r="Z20" s="5">
        <v>3</v>
      </c>
      <c r="AA20" s="5">
        <v>3</v>
      </c>
      <c r="AB20" s="5">
        <v>3</v>
      </c>
      <c r="AC20" s="5">
        <v>3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2</v>
      </c>
      <c r="AK20" s="5">
        <v>2</v>
      </c>
    </row>
    <row r="21" spans="1:37" x14ac:dyDescent="0.25">
      <c r="A21" s="3">
        <v>20</v>
      </c>
      <c r="B21" s="3" t="s">
        <v>8</v>
      </c>
      <c r="C21" s="5">
        <v>3</v>
      </c>
      <c r="D21" s="5">
        <v>3</v>
      </c>
      <c r="E21" s="5">
        <v>3</v>
      </c>
      <c r="F21" s="5">
        <v>3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5">
        <v>3</v>
      </c>
      <c r="M21" s="5">
        <v>3</v>
      </c>
      <c r="N21" s="5">
        <v>3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2</v>
      </c>
      <c r="U21" s="5">
        <v>2</v>
      </c>
      <c r="V21" s="5">
        <v>2</v>
      </c>
      <c r="W21" s="5">
        <v>2</v>
      </c>
      <c r="X21" s="5">
        <v>2</v>
      </c>
      <c r="Y21" s="5">
        <v>2</v>
      </c>
      <c r="Z21" s="5">
        <v>2</v>
      </c>
      <c r="AA21" s="5">
        <v>2</v>
      </c>
      <c r="AB21" s="5">
        <v>2</v>
      </c>
      <c r="AC21" s="5">
        <v>2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3</v>
      </c>
      <c r="AK21" s="5">
        <v>3</v>
      </c>
    </row>
    <row r="22" spans="1:37" x14ac:dyDescent="0.25">
      <c r="A22" s="3">
        <v>21</v>
      </c>
      <c r="B22" s="3" t="s">
        <v>2</v>
      </c>
      <c r="C22" s="5">
        <v>3</v>
      </c>
      <c r="D22" s="5">
        <v>3</v>
      </c>
      <c r="E22" s="5">
        <v>3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3</v>
      </c>
      <c r="AE22" s="5">
        <v>3</v>
      </c>
      <c r="AF22" s="5">
        <v>3</v>
      </c>
      <c r="AG22" s="5">
        <v>3</v>
      </c>
      <c r="AH22" s="5">
        <v>3</v>
      </c>
      <c r="AI22" s="5">
        <v>3</v>
      </c>
      <c r="AJ22" s="5">
        <v>3</v>
      </c>
      <c r="AK22" s="5">
        <v>3</v>
      </c>
    </row>
  </sheetData>
  <conditionalFormatting sqref="C2:C22">
    <cfRule type="colorScale" priority="40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D2:D22">
    <cfRule type="colorScale" priority="39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E2:E22">
    <cfRule type="colorScale" priority="38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F2:F22">
    <cfRule type="colorScale" priority="37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G2:G22">
    <cfRule type="colorScale" priority="36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H2:H22">
    <cfRule type="colorScale" priority="35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I2:I22">
    <cfRule type="colorScale" priority="34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J2:J22">
    <cfRule type="colorScale" priority="33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K2:K22">
    <cfRule type="colorScale" priority="32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L2:L22">
    <cfRule type="colorScale" priority="31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M2:M22">
    <cfRule type="colorScale" priority="30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N2:N22">
    <cfRule type="colorScale" priority="29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O2:O22">
    <cfRule type="colorScale" priority="27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P2:P22">
    <cfRule type="colorScale" priority="26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Q2:Q22">
    <cfRule type="colorScale" priority="25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R2:R22">
    <cfRule type="colorScale" priority="24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S2:S22">
    <cfRule type="colorScale" priority="23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T2:T22">
    <cfRule type="colorScale" priority="21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U2:U22">
    <cfRule type="colorScale" priority="20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V2:V22">
    <cfRule type="colorScale" priority="19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W2:W22">
    <cfRule type="colorScale" priority="18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X2:X22">
    <cfRule type="colorScale" priority="17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Y2:Y22">
    <cfRule type="colorScale" priority="16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Z2:Z22">
    <cfRule type="colorScale" priority="15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A2:AA22">
    <cfRule type="colorScale" priority="14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B2:AB22">
    <cfRule type="colorScale" priority="13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C2:AC22">
    <cfRule type="colorScale" priority="12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D2:AD22">
    <cfRule type="colorScale" priority="10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E2:AE22">
    <cfRule type="colorScale" priority="9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F2:AF22">
    <cfRule type="colorScale" priority="8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G2:AG22">
    <cfRule type="colorScale" priority="7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H2:AH22">
    <cfRule type="colorScale" priority="6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I2:AI22">
    <cfRule type="colorScale" priority="5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J2:AJ22">
    <cfRule type="colorScale" priority="3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conditionalFormatting sqref="AK2:AK22">
    <cfRule type="colorScale" priority="2">
      <colorScale>
        <cfvo type="num" val="1"/>
        <cfvo type="percentile" val="3"/>
        <cfvo type="num" val="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249A-4804-400F-9DF9-A32A3BFB1C4C}">
  <dimension ref="A1:F22"/>
  <sheetViews>
    <sheetView workbookViewId="0">
      <selection activeCell="G36" sqref="G36"/>
    </sheetView>
  </sheetViews>
  <sheetFormatPr baseColWidth="10" defaultRowHeight="15" x14ac:dyDescent="0.25"/>
  <cols>
    <col min="2" max="2" width="40.7109375" bestFit="1" customWidth="1"/>
  </cols>
  <sheetData>
    <row r="1" spans="1:6" x14ac:dyDescent="0.25">
      <c r="A1" s="2" t="s">
        <v>46</v>
      </c>
      <c r="B1" s="2" t="s">
        <v>87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 x14ac:dyDescent="0.25">
      <c r="A2" s="3">
        <v>1</v>
      </c>
      <c r="B2" s="3" t="s">
        <v>10</v>
      </c>
      <c r="C2" s="1">
        <v>4</v>
      </c>
      <c r="D2" s="1">
        <v>4</v>
      </c>
      <c r="E2" s="1">
        <v>5</v>
      </c>
      <c r="F2" s="1">
        <v>4</v>
      </c>
    </row>
    <row r="3" spans="1:6" x14ac:dyDescent="0.25">
      <c r="A3" s="3">
        <v>2</v>
      </c>
      <c r="B3" s="3" t="s">
        <v>1</v>
      </c>
      <c r="C3" s="1">
        <v>3</v>
      </c>
      <c r="D3" s="1">
        <v>3</v>
      </c>
      <c r="E3" s="1">
        <v>5</v>
      </c>
      <c r="F3" s="1">
        <v>4</v>
      </c>
    </row>
    <row r="4" spans="1:6" x14ac:dyDescent="0.25">
      <c r="A4" s="3">
        <v>3</v>
      </c>
      <c r="B4" s="3" t="s">
        <v>4</v>
      </c>
      <c r="C4" s="1">
        <v>4</v>
      </c>
      <c r="D4" s="1">
        <v>3</v>
      </c>
      <c r="E4" s="1">
        <v>5</v>
      </c>
      <c r="F4" s="1">
        <v>4</v>
      </c>
    </row>
    <row r="5" spans="1:6" x14ac:dyDescent="0.25">
      <c r="A5" s="3">
        <v>4</v>
      </c>
      <c r="B5" s="3" t="s">
        <v>13</v>
      </c>
      <c r="C5" s="1">
        <v>4</v>
      </c>
      <c r="D5" s="1">
        <v>3</v>
      </c>
      <c r="E5" s="1">
        <v>5</v>
      </c>
      <c r="F5" s="1">
        <v>4</v>
      </c>
    </row>
    <row r="6" spans="1:6" x14ac:dyDescent="0.25">
      <c r="A6" s="3">
        <v>5</v>
      </c>
      <c r="B6" s="3" t="s">
        <v>16</v>
      </c>
      <c r="C6" s="1">
        <v>4</v>
      </c>
      <c r="D6" s="1">
        <v>4</v>
      </c>
      <c r="E6" s="1">
        <v>5</v>
      </c>
      <c r="F6" s="1">
        <v>4</v>
      </c>
    </row>
    <row r="7" spans="1:6" x14ac:dyDescent="0.25">
      <c r="A7" s="3">
        <v>6</v>
      </c>
      <c r="B7" s="3" t="s">
        <v>9</v>
      </c>
      <c r="C7" s="1">
        <v>5</v>
      </c>
      <c r="D7" s="1">
        <v>4</v>
      </c>
      <c r="E7" s="1">
        <v>4</v>
      </c>
      <c r="F7" s="1">
        <v>3</v>
      </c>
    </row>
    <row r="8" spans="1:6" x14ac:dyDescent="0.25">
      <c r="A8" s="3">
        <v>7</v>
      </c>
      <c r="B8" s="3" t="s">
        <v>14</v>
      </c>
      <c r="C8" s="1">
        <v>4</v>
      </c>
      <c r="D8" s="1">
        <v>2</v>
      </c>
      <c r="E8" s="1">
        <v>5</v>
      </c>
      <c r="F8" s="1">
        <v>4</v>
      </c>
    </row>
    <row r="9" spans="1:6" x14ac:dyDescent="0.25">
      <c r="A9" s="3">
        <v>8</v>
      </c>
      <c r="B9" s="3" t="s">
        <v>0</v>
      </c>
      <c r="C9" s="1">
        <v>3</v>
      </c>
      <c r="D9" s="1">
        <v>3</v>
      </c>
      <c r="E9" s="1">
        <v>5</v>
      </c>
      <c r="F9" s="1">
        <v>4</v>
      </c>
    </row>
    <row r="10" spans="1:6" x14ac:dyDescent="0.25">
      <c r="A10" s="3">
        <v>9</v>
      </c>
      <c r="B10" s="3" t="s">
        <v>5</v>
      </c>
      <c r="C10" s="1">
        <v>4</v>
      </c>
      <c r="D10" s="1">
        <v>3</v>
      </c>
      <c r="E10" s="1">
        <v>4</v>
      </c>
      <c r="F10" s="1">
        <v>4</v>
      </c>
    </row>
    <row r="11" spans="1:6" x14ac:dyDescent="0.25">
      <c r="A11" s="3">
        <v>10</v>
      </c>
      <c r="B11" s="3" t="s">
        <v>20</v>
      </c>
      <c r="C11" s="1">
        <v>4</v>
      </c>
      <c r="D11" s="1">
        <v>3</v>
      </c>
      <c r="E11" s="1">
        <v>5</v>
      </c>
      <c r="F11" s="1">
        <v>4</v>
      </c>
    </row>
    <row r="12" spans="1:6" x14ac:dyDescent="0.25">
      <c r="A12" s="3">
        <v>11</v>
      </c>
      <c r="B12" s="3" t="s">
        <v>6</v>
      </c>
      <c r="C12" s="1">
        <v>5</v>
      </c>
      <c r="D12" s="1">
        <v>2</v>
      </c>
      <c r="E12" s="1">
        <v>5</v>
      </c>
      <c r="F12" s="1">
        <v>5</v>
      </c>
    </row>
    <row r="13" spans="1:6" x14ac:dyDescent="0.25">
      <c r="A13" s="3">
        <v>12</v>
      </c>
      <c r="B13" s="3" t="s">
        <v>7</v>
      </c>
      <c r="C13" s="1">
        <v>4</v>
      </c>
      <c r="D13" s="1">
        <v>3</v>
      </c>
      <c r="E13" s="1">
        <v>5</v>
      </c>
      <c r="F13" s="1">
        <v>4</v>
      </c>
    </row>
    <row r="14" spans="1:6" x14ac:dyDescent="0.25">
      <c r="A14" s="3">
        <v>13</v>
      </c>
      <c r="B14" s="3" t="s">
        <v>18</v>
      </c>
      <c r="C14" s="1">
        <v>3</v>
      </c>
      <c r="D14" s="1">
        <v>3</v>
      </c>
      <c r="E14" s="1">
        <v>4</v>
      </c>
      <c r="F14" s="1">
        <v>4</v>
      </c>
    </row>
    <row r="15" spans="1:6" x14ac:dyDescent="0.25">
      <c r="A15" s="3">
        <v>14</v>
      </c>
      <c r="B15" s="3" t="s">
        <v>3</v>
      </c>
      <c r="C15" s="1">
        <v>4</v>
      </c>
      <c r="D15" s="1">
        <v>3</v>
      </c>
      <c r="E15" s="1">
        <v>3</v>
      </c>
      <c r="F15" s="1">
        <v>3</v>
      </c>
    </row>
    <row r="16" spans="1:6" x14ac:dyDescent="0.25">
      <c r="A16" s="3">
        <v>15</v>
      </c>
      <c r="B16" s="3" t="s">
        <v>11</v>
      </c>
      <c r="C16" s="1">
        <v>5</v>
      </c>
      <c r="D16" s="1">
        <v>4</v>
      </c>
      <c r="E16" s="1">
        <v>2</v>
      </c>
      <c r="F16" s="1">
        <v>1</v>
      </c>
    </row>
    <row r="17" spans="1:6" x14ac:dyDescent="0.25">
      <c r="A17" s="3">
        <v>16</v>
      </c>
      <c r="B17" s="3" t="s">
        <v>12</v>
      </c>
      <c r="C17" s="1">
        <v>4</v>
      </c>
      <c r="D17" s="1">
        <v>3</v>
      </c>
      <c r="E17" s="1">
        <v>2</v>
      </c>
      <c r="F17" s="1">
        <v>1</v>
      </c>
    </row>
    <row r="18" spans="1:6" x14ac:dyDescent="0.25">
      <c r="A18" s="3">
        <v>17</v>
      </c>
      <c r="B18" s="3" t="s">
        <v>15</v>
      </c>
      <c r="C18" s="1">
        <v>2</v>
      </c>
      <c r="D18" s="1">
        <v>2</v>
      </c>
      <c r="E18" s="1">
        <v>2</v>
      </c>
      <c r="F18" s="1">
        <v>2</v>
      </c>
    </row>
    <row r="19" spans="1:6" x14ac:dyDescent="0.25">
      <c r="A19" s="3">
        <v>18</v>
      </c>
      <c r="B19" s="3" t="s">
        <v>17</v>
      </c>
      <c r="C19" s="1">
        <v>2</v>
      </c>
      <c r="D19" s="1">
        <v>2</v>
      </c>
      <c r="E19" s="1">
        <v>1</v>
      </c>
      <c r="F19" s="1">
        <v>1</v>
      </c>
    </row>
    <row r="20" spans="1:6" x14ac:dyDescent="0.25">
      <c r="A20" s="3">
        <v>19</v>
      </c>
      <c r="B20" s="3" t="s">
        <v>19</v>
      </c>
      <c r="C20" s="1">
        <v>4</v>
      </c>
      <c r="D20" s="1">
        <v>3</v>
      </c>
      <c r="E20" s="1">
        <v>2</v>
      </c>
      <c r="F20" s="1">
        <v>1</v>
      </c>
    </row>
    <row r="21" spans="1:6" x14ac:dyDescent="0.25">
      <c r="A21" s="3">
        <v>20</v>
      </c>
      <c r="B21" s="3" t="s">
        <v>8</v>
      </c>
      <c r="C21" s="1">
        <v>2</v>
      </c>
      <c r="D21" s="1">
        <v>3</v>
      </c>
      <c r="E21" s="1">
        <v>4</v>
      </c>
      <c r="F21" s="1">
        <v>4</v>
      </c>
    </row>
    <row r="22" spans="1:6" x14ac:dyDescent="0.25">
      <c r="A22" s="3">
        <v>21</v>
      </c>
      <c r="B22" s="3" t="s">
        <v>2</v>
      </c>
      <c r="C22" s="1">
        <v>3</v>
      </c>
      <c r="D22" s="1">
        <v>5</v>
      </c>
      <c r="E22" s="1">
        <v>1</v>
      </c>
      <c r="F22" s="1">
        <v>1</v>
      </c>
    </row>
  </sheetData>
  <conditionalFormatting sqref="C2:F22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0AD-EFD5-4688-98AA-A0ED414CBE8B}">
  <dimension ref="A1:AA22"/>
  <sheetViews>
    <sheetView workbookViewId="0">
      <selection activeCell="G34" sqref="G34"/>
    </sheetView>
  </sheetViews>
  <sheetFormatPr baseColWidth="10" defaultRowHeight="15" x14ac:dyDescent="0.25"/>
  <cols>
    <col min="1" max="1" width="11.42578125" customWidth="1"/>
    <col min="2" max="2" width="40.7109375" bestFit="1" customWidth="1"/>
  </cols>
  <sheetData>
    <row r="1" spans="1:27" x14ac:dyDescent="0.25">
      <c r="A1" s="2" t="s">
        <v>46</v>
      </c>
      <c r="B1" s="2" t="s">
        <v>87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</row>
    <row r="2" spans="1:27" x14ac:dyDescent="0.25">
      <c r="A2" s="3">
        <v>1</v>
      </c>
      <c r="B2" s="3" t="s">
        <v>10</v>
      </c>
      <c r="C2" s="1">
        <v>5</v>
      </c>
      <c r="D2" s="1">
        <v>4</v>
      </c>
      <c r="E2" s="1">
        <v>5</v>
      </c>
      <c r="F2" s="1">
        <v>5</v>
      </c>
      <c r="G2" s="1">
        <v>5</v>
      </c>
      <c r="H2" s="1">
        <v>1</v>
      </c>
      <c r="I2" s="1">
        <v>2</v>
      </c>
      <c r="J2" s="1">
        <v>2</v>
      </c>
      <c r="K2" s="1">
        <v>2</v>
      </c>
      <c r="L2" s="1">
        <v>5</v>
      </c>
      <c r="M2" s="1">
        <v>2</v>
      </c>
      <c r="N2" s="1">
        <v>4</v>
      </c>
      <c r="O2" s="1">
        <v>5</v>
      </c>
      <c r="P2" s="1">
        <v>5</v>
      </c>
      <c r="Q2" s="1">
        <v>5</v>
      </c>
      <c r="R2" s="1">
        <v>2</v>
      </c>
      <c r="S2" s="1">
        <v>4</v>
      </c>
      <c r="T2" s="1">
        <v>4</v>
      </c>
      <c r="U2" s="1">
        <v>4</v>
      </c>
      <c r="V2" s="1">
        <v>5</v>
      </c>
      <c r="W2" s="1">
        <v>5</v>
      </c>
      <c r="X2" s="1">
        <v>3</v>
      </c>
      <c r="Y2" s="1">
        <v>2</v>
      </c>
      <c r="Z2" s="1">
        <v>3</v>
      </c>
      <c r="AA2" s="1">
        <v>5</v>
      </c>
    </row>
    <row r="3" spans="1:27" x14ac:dyDescent="0.25">
      <c r="A3" s="3">
        <v>2</v>
      </c>
      <c r="B3" s="3" t="s">
        <v>1</v>
      </c>
      <c r="C3" s="1">
        <v>4</v>
      </c>
      <c r="D3" s="1">
        <v>3</v>
      </c>
      <c r="E3" s="1">
        <v>3</v>
      </c>
      <c r="F3" s="1">
        <v>3</v>
      </c>
      <c r="G3" s="1">
        <v>3</v>
      </c>
      <c r="H3" s="1">
        <v>1</v>
      </c>
      <c r="I3" s="1">
        <v>2</v>
      </c>
      <c r="J3" s="1">
        <v>2</v>
      </c>
      <c r="K3" s="1">
        <v>2</v>
      </c>
      <c r="L3" s="1">
        <v>5</v>
      </c>
      <c r="M3" s="1">
        <v>2</v>
      </c>
      <c r="N3" s="1">
        <v>1</v>
      </c>
      <c r="O3" s="1">
        <v>5</v>
      </c>
      <c r="P3" s="1">
        <v>5</v>
      </c>
      <c r="Q3" s="1">
        <v>5</v>
      </c>
      <c r="R3" s="1">
        <v>2</v>
      </c>
      <c r="S3" s="1">
        <v>3</v>
      </c>
      <c r="T3" s="1">
        <v>1</v>
      </c>
      <c r="U3" s="1">
        <v>3</v>
      </c>
      <c r="V3" s="1">
        <v>5</v>
      </c>
      <c r="W3" s="1">
        <v>5</v>
      </c>
      <c r="X3" s="1">
        <v>2</v>
      </c>
      <c r="Y3" s="1">
        <v>2</v>
      </c>
      <c r="Z3" s="1">
        <v>3</v>
      </c>
      <c r="AA3" s="1">
        <v>4</v>
      </c>
    </row>
    <row r="4" spans="1:27" x14ac:dyDescent="0.25">
      <c r="A4" s="3">
        <v>3</v>
      </c>
      <c r="B4" s="3" t="s">
        <v>4</v>
      </c>
      <c r="C4" s="1">
        <v>5</v>
      </c>
      <c r="D4" s="1">
        <v>4</v>
      </c>
      <c r="E4" s="1">
        <v>4</v>
      </c>
      <c r="F4" s="1">
        <v>4</v>
      </c>
      <c r="G4" s="1">
        <v>4</v>
      </c>
      <c r="H4" s="1">
        <v>1</v>
      </c>
      <c r="I4" s="1">
        <v>2</v>
      </c>
      <c r="J4" s="1">
        <v>2</v>
      </c>
      <c r="K4" s="1">
        <v>2</v>
      </c>
      <c r="L4" s="1">
        <v>5</v>
      </c>
      <c r="M4" s="1">
        <v>2</v>
      </c>
      <c r="N4" s="1">
        <v>1</v>
      </c>
      <c r="O4" s="1">
        <v>5</v>
      </c>
      <c r="P4" s="1">
        <v>5</v>
      </c>
      <c r="Q4" s="1">
        <v>5</v>
      </c>
      <c r="R4" s="1">
        <v>2</v>
      </c>
      <c r="S4" s="1">
        <v>3</v>
      </c>
      <c r="T4" s="1">
        <v>1</v>
      </c>
      <c r="U4" s="1">
        <v>3</v>
      </c>
      <c r="V4" s="1">
        <v>5</v>
      </c>
      <c r="W4" s="1">
        <v>5</v>
      </c>
      <c r="X4" s="1">
        <v>2</v>
      </c>
      <c r="Y4" s="1">
        <v>2</v>
      </c>
      <c r="Z4" s="1">
        <v>3</v>
      </c>
      <c r="AA4" s="1">
        <v>5</v>
      </c>
    </row>
    <row r="5" spans="1:27" x14ac:dyDescent="0.25">
      <c r="A5" s="3">
        <v>4</v>
      </c>
      <c r="B5" s="3" t="s">
        <v>13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1</v>
      </c>
      <c r="I5" s="1">
        <v>2</v>
      </c>
      <c r="J5" s="1">
        <v>2</v>
      </c>
      <c r="K5" s="1">
        <v>2</v>
      </c>
      <c r="L5" s="1">
        <v>5</v>
      </c>
      <c r="M5" s="1">
        <v>2</v>
      </c>
      <c r="N5" s="1">
        <v>1</v>
      </c>
      <c r="O5" s="1">
        <v>5</v>
      </c>
      <c r="P5" s="1">
        <v>5</v>
      </c>
      <c r="Q5" s="1">
        <v>5</v>
      </c>
      <c r="R5" s="1">
        <v>2</v>
      </c>
      <c r="S5" s="1">
        <v>3</v>
      </c>
      <c r="T5" s="1">
        <v>1</v>
      </c>
      <c r="U5" s="1">
        <v>3</v>
      </c>
      <c r="V5" s="1">
        <v>5</v>
      </c>
      <c r="W5" s="1">
        <v>5</v>
      </c>
      <c r="X5" s="1">
        <v>3</v>
      </c>
      <c r="Y5" s="1">
        <v>2</v>
      </c>
      <c r="Z5" s="1">
        <v>3</v>
      </c>
      <c r="AA5" s="1">
        <v>5</v>
      </c>
    </row>
    <row r="6" spans="1:27" x14ac:dyDescent="0.25">
      <c r="A6" s="3">
        <v>5</v>
      </c>
      <c r="B6" s="3" t="s">
        <v>16</v>
      </c>
      <c r="C6" s="1">
        <v>5</v>
      </c>
      <c r="D6" s="1">
        <v>4</v>
      </c>
      <c r="E6" s="1">
        <v>5</v>
      </c>
      <c r="F6" s="1">
        <v>5</v>
      </c>
      <c r="G6" s="1">
        <v>5</v>
      </c>
      <c r="H6" s="1">
        <v>5</v>
      </c>
      <c r="I6" s="1">
        <v>4</v>
      </c>
      <c r="J6" s="1">
        <v>3</v>
      </c>
      <c r="K6" s="1">
        <v>3</v>
      </c>
      <c r="L6" s="1">
        <v>5</v>
      </c>
      <c r="M6" s="1">
        <v>4</v>
      </c>
      <c r="N6" s="1">
        <v>2</v>
      </c>
      <c r="O6" s="1">
        <v>5</v>
      </c>
      <c r="P6" s="1">
        <v>5</v>
      </c>
      <c r="Q6" s="1">
        <v>5</v>
      </c>
      <c r="R6" s="1">
        <v>4</v>
      </c>
      <c r="S6" s="1">
        <v>4</v>
      </c>
      <c r="T6" s="1">
        <v>2</v>
      </c>
      <c r="U6" s="1">
        <v>4</v>
      </c>
      <c r="V6" s="1">
        <v>5</v>
      </c>
      <c r="W6" s="1">
        <v>5</v>
      </c>
      <c r="X6" s="1">
        <v>2</v>
      </c>
      <c r="Y6" s="1">
        <v>3</v>
      </c>
      <c r="Z6" s="1">
        <v>3</v>
      </c>
      <c r="AA6" s="1">
        <v>5</v>
      </c>
    </row>
    <row r="7" spans="1:27" x14ac:dyDescent="0.25">
      <c r="A7" s="3">
        <v>6</v>
      </c>
      <c r="B7" s="3" t="s">
        <v>9</v>
      </c>
      <c r="C7" s="1">
        <v>4</v>
      </c>
      <c r="D7" s="1">
        <v>5</v>
      </c>
      <c r="E7" s="1">
        <v>2</v>
      </c>
      <c r="F7" s="1">
        <v>2</v>
      </c>
      <c r="G7" s="1">
        <v>2</v>
      </c>
      <c r="H7" s="1">
        <v>4</v>
      </c>
      <c r="I7" s="1">
        <v>4</v>
      </c>
      <c r="J7" s="1">
        <v>3</v>
      </c>
      <c r="K7" s="1">
        <v>3</v>
      </c>
      <c r="L7" s="1">
        <v>3</v>
      </c>
      <c r="M7" s="1">
        <v>3</v>
      </c>
      <c r="N7" s="1">
        <v>2</v>
      </c>
      <c r="O7" s="1">
        <v>3</v>
      </c>
      <c r="P7" s="1">
        <v>3</v>
      </c>
      <c r="Q7" s="1">
        <v>3</v>
      </c>
      <c r="R7" s="1">
        <v>3</v>
      </c>
      <c r="S7" s="1">
        <v>4</v>
      </c>
      <c r="T7" s="1">
        <v>1</v>
      </c>
      <c r="U7" s="1">
        <v>4</v>
      </c>
      <c r="V7" s="1">
        <v>4</v>
      </c>
      <c r="W7" s="1">
        <v>3</v>
      </c>
      <c r="X7" s="1">
        <v>3</v>
      </c>
      <c r="Y7" s="1">
        <v>3</v>
      </c>
      <c r="Z7" s="1">
        <v>3</v>
      </c>
      <c r="AA7" s="1">
        <v>5</v>
      </c>
    </row>
    <row r="8" spans="1:27" x14ac:dyDescent="0.25">
      <c r="A8" s="3">
        <v>7</v>
      </c>
      <c r="B8" s="3" t="s">
        <v>14</v>
      </c>
      <c r="C8" s="1">
        <v>3</v>
      </c>
      <c r="D8" s="1">
        <v>4</v>
      </c>
      <c r="E8" s="1">
        <v>1</v>
      </c>
      <c r="F8" s="1">
        <v>1</v>
      </c>
      <c r="G8" s="1">
        <v>1</v>
      </c>
      <c r="H8" s="1">
        <v>3</v>
      </c>
      <c r="I8" s="1">
        <v>4</v>
      </c>
      <c r="J8" s="1">
        <v>2</v>
      </c>
      <c r="K8" s="1">
        <v>2</v>
      </c>
      <c r="L8" s="1">
        <v>4</v>
      </c>
      <c r="M8" s="1">
        <v>5</v>
      </c>
      <c r="N8" s="1">
        <v>4</v>
      </c>
      <c r="O8" s="1">
        <v>5</v>
      </c>
      <c r="P8" s="1">
        <v>4</v>
      </c>
      <c r="Q8" s="1">
        <v>5</v>
      </c>
      <c r="R8" s="1">
        <v>5</v>
      </c>
      <c r="S8" s="1">
        <v>4</v>
      </c>
      <c r="T8" s="1">
        <v>1</v>
      </c>
      <c r="U8" s="1">
        <v>4</v>
      </c>
      <c r="V8" s="1">
        <v>4</v>
      </c>
      <c r="W8" s="1">
        <v>4</v>
      </c>
      <c r="X8" s="1">
        <v>2</v>
      </c>
      <c r="Y8" s="1">
        <v>2</v>
      </c>
      <c r="Z8" s="1">
        <v>3</v>
      </c>
      <c r="AA8" s="1">
        <v>5</v>
      </c>
    </row>
    <row r="9" spans="1:27" x14ac:dyDescent="0.25">
      <c r="A9" s="3">
        <v>8</v>
      </c>
      <c r="B9" s="3" t="s">
        <v>0</v>
      </c>
      <c r="C9" s="1">
        <v>2</v>
      </c>
      <c r="D9" s="1">
        <v>3</v>
      </c>
      <c r="E9" s="1">
        <v>2</v>
      </c>
      <c r="F9" s="1">
        <v>2</v>
      </c>
      <c r="G9" s="1">
        <v>2</v>
      </c>
      <c r="H9" s="1">
        <v>4</v>
      </c>
      <c r="I9" s="1">
        <v>3</v>
      </c>
      <c r="J9" s="1">
        <v>5</v>
      </c>
      <c r="K9" s="1">
        <v>5</v>
      </c>
      <c r="L9" s="1">
        <v>3</v>
      </c>
      <c r="M9" s="1">
        <v>2</v>
      </c>
      <c r="N9" s="1">
        <v>2</v>
      </c>
      <c r="O9" s="1">
        <v>3</v>
      </c>
      <c r="P9" s="1">
        <v>3</v>
      </c>
      <c r="Q9" s="1">
        <v>3</v>
      </c>
      <c r="R9" s="1">
        <v>2</v>
      </c>
      <c r="S9" s="1">
        <v>3</v>
      </c>
      <c r="T9" s="1">
        <v>1</v>
      </c>
      <c r="U9" s="1">
        <v>4</v>
      </c>
      <c r="V9" s="1">
        <v>5</v>
      </c>
      <c r="W9" s="1">
        <v>3</v>
      </c>
      <c r="X9" s="1">
        <v>4</v>
      </c>
      <c r="Y9" s="1">
        <v>5</v>
      </c>
      <c r="Z9" s="1">
        <v>4</v>
      </c>
      <c r="AA9" s="1">
        <v>2</v>
      </c>
    </row>
    <row r="10" spans="1:27" x14ac:dyDescent="0.25">
      <c r="A10" s="3">
        <v>9</v>
      </c>
      <c r="B10" s="3" t="s">
        <v>5</v>
      </c>
      <c r="C10" s="1">
        <v>3</v>
      </c>
      <c r="D10" s="1">
        <v>4</v>
      </c>
      <c r="E10" s="1">
        <v>2</v>
      </c>
      <c r="F10" s="1">
        <v>2</v>
      </c>
      <c r="G10" s="1">
        <v>2</v>
      </c>
      <c r="H10" s="1">
        <v>4</v>
      </c>
      <c r="I10" s="1">
        <v>4</v>
      </c>
      <c r="J10" s="1">
        <v>5</v>
      </c>
      <c r="K10" s="1">
        <v>5</v>
      </c>
      <c r="L10" s="1">
        <v>3</v>
      </c>
      <c r="M10" s="1">
        <v>2</v>
      </c>
      <c r="N10" s="1">
        <v>2</v>
      </c>
      <c r="O10" s="1">
        <v>3</v>
      </c>
      <c r="P10" s="1">
        <v>3</v>
      </c>
      <c r="Q10" s="1">
        <v>3</v>
      </c>
      <c r="R10" s="1">
        <v>2</v>
      </c>
      <c r="S10" s="1">
        <v>3</v>
      </c>
      <c r="T10" s="1">
        <v>1</v>
      </c>
      <c r="U10" s="1">
        <v>4</v>
      </c>
      <c r="V10" s="1">
        <v>5</v>
      </c>
      <c r="W10" s="1">
        <v>3</v>
      </c>
      <c r="X10" s="1">
        <v>5</v>
      </c>
      <c r="Y10" s="1">
        <v>5</v>
      </c>
      <c r="Z10" s="1">
        <v>4</v>
      </c>
      <c r="AA10" s="1">
        <v>3</v>
      </c>
    </row>
    <row r="11" spans="1:27" x14ac:dyDescent="0.25">
      <c r="A11" s="3">
        <v>10</v>
      </c>
      <c r="B11" s="3" t="s">
        <v>20</v>
      </c>
      <c r="C11" s="1">
        <v>3</v>
      </c>
      <c r="D11" s="1">
        <v>4</v>
      </c>
      <c r="E11" s="1">
        <v>3</v>
      </c>
      <c r="F11" s="1">
        <v>3</v>
      </c>
      <c r="G11" s="1">
        <v>3</v>
      </c>
      <c r="H11" s="1">
        <v>4</v>
      </c>
      <c r="I11" s="1">
        <v>4</v>
      </c>
      <c r="J11" s="1">
        <v>5</v>
      </c>
      <c r="K11" s="1">
        <v>5</v>
      </c>
      <c r="L11" s="1">
        <v>4</v>
      </c>
      <c r="M11" s="1">
        <v>4</v>
      </c>
      <c r="N11" s="1">
        <v>3</v>
      </c>
      <c r="O11" s="1">
        <v>2</v>
      </c>
      <c r="P11" s="1">
        <v>4</v>
      </c>
      <c r="Q11" s="1">
        <v>2</v>
      </c>
      <c r="R11" s="1">
        <v>4</v>
      </c>
      <c r="S11" s="1">
        <v>3</v>
      </c>
      <c r="T11" s="1">
        <v>1</v>
      </c>
      <c r="U11" s="1">
        <v>4</v>
      </c>
      <c r="V11" s="1">
        <v>3</v>
      </c>
      <c r="W11" s="1">
        <v>4</v>
      </c>
      <c r="X11" s="1">
        <v>4</v>
      </c>
      <c r="Y11" s="1">
        <v>5</v>
      </c>
      <c r="Z11" s="1">
        <v>4</v>
      </c>
      <c r="AA11" s="1">
        <v>4</v>
      </c>
    </row>
    <row r="12" spans="1:27" x14ac:dyDescent="0.25">
      <c r="A12" s="3">
        <v>11</v>
      </c>
      <c r="B12" s="3" t="s">
        <v>6</v>
      </c>
      <c r="C12" s="1">
        <v>4</v>
      </c>
      <c r="D12" s="1">
        <v>4</v>
      </c>
      <c r="E12" s="1">
        <v>3</v>
      </c>
      <c r="F12" s="1">
        <v>3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5</v>
      </c>
      <c r="M12" s="1">
        <v>5</v>
      </c>
      <c r="N12" s="1">
        <v>4</v>
      </c>
      <c r="O12" s="1">
        <v>4</v>
      </c>
      <c r="P12" s="1">
        <v>5</v>
      </c>
      <c r="Q12" s="1">
        <v>4</v>
      </c>
      <c r="R12" s="1">
        <v>5</v>
      </c>
      <c r="S12" s="1">
        <v>5</v>
      </c>
      <c r="T12" s="1">
        <v>2</v>
      </c>
      <c r="U12" s="1">
        <v>5</v>
      </c>
      <c r="V12" s="1">
        <v>5</v>
      </c>
      <c r="W12" s="1">
        <v>5</v>
      </c>
      <c r="X12" s="1">
        <v>5</v>
      </c>
      <c r="Y12" s="1">
        <v>5</v>
      </c>
      <c r="Z12" s="1">
        <v>5</v>
      </c>
      <c r="AA12" s="1">
        <v>5</v>
      </c>
    </row>
    <row r="13" spans="1:27" x14ac:dyDescent="0.25">
      <c r="A13" s="3">
        <v>12</v>
      </c>
      <c r="B13" s="3" t="s">
        <v>7</v>
      </c>
      <c r="C13" s="1">
        <v>2</v>
      </c>
      <c r="D13" s="1">
        <v>3</v>
      </c>
      <c r="E13" s="1">
        <v>1</v>
      </c>
      <c r="F13" s="1">
        <v>1</v>
      </c>
      <c r="G13" s="1">
        <v>1</v>
      </c>
      <c r="H13" s="1">
        <v>4</v>
      </c>
      <c r="I13" s="1">
        <v>4</v>
      </c>
      <c r="J13" s="1">
        <v>5</v>
      </c>
      <c r="K13" s="1">
        <v>5</v>
      </c>
      <c r="L13" s="1">
        <v>4</v>
      </c>
      <c r="M13" s="1">
        <v>4</v>
      </c>
      <c r="N13" s="1">
        <v>4</v>
      </c>
      <c r="O13" s="1">
        <v>3</v>
      </c>
      <c r="P13" s="1">
        <v>4</v>
      </c>
      <c r="Q13" s="1">
        <v>3</v>
      </c>
      <c r="R13" s="1">
        <v>4</v>
      </c>
      <c r="S13" s="1">
        <v>4</v>
      </c>
      <c r="T13" s="1">
        <v>1</v>
      </c>
      <c r="U13" s="1">
        <v>4</v>
      </c>
      <c r="V13" s="1">
        <v>5</v>
      </c>
      <c r="W13" s="1">
        <v>4</v>
      </c>
      <c r="X13" s="1">
        <v>5</v>
      </c>
      <c r="Y13" s="1">
        <v>5</v>
      </c>
      <c r="Z13" s="1">
        <v>4</v>
      </c>
      <c r="AA13" s="1">
        <v>4</v>
      </c>
    </row>
    <row r="14" spans="1:27" x14ac:dyDescent="0.25">
      <c r="A14" s="3">
        <v>13</v>
      </c>
      <c r="B14" s="3" t="s">
        <v>18</v>
      </c>
      <c r="C14" s="1">
        <v>2</v>
      </c>
      <c r="D14" s="1">
        <v>4</v>
      </c>
      <c r="E14" s="1">
        <v>2</v>
      </c>
      <c r="F14" s="1">
        <v>2</v>
      </c>
      <c r="G14" s="1">
        <v>2</v>
      </c>
      <c r="H14" s="1">
        <v>4</v>
      </c>
      <c r="I14" s="1">
        <v>3</v>
      </c>
      <c r="J14" s="1">
        <v>5</v>
      </c>
      <c r="K14" s="1">
        <v>5</v>
      </c>
      <c r="L14" s="1">
        <v>3</v>
      </c>
      <c r="M14" s="1">
        <v>2</v>
      </c>
      <c r="N14" s="1">
        <v>2</v>
      </c>
      <c r="O14" s="1">
        <v>3</v>
      </c>
      <c r="P14" s="1">
        <v>3</v>
      </c>
      <c r="Q14" s="1">
        <v>3</v>
      </c>
      <c r="R14" s="1">
        <v>2</v>
      </c>
      <c r="S14" s="1">
        <v>3</v>
      </c>
      <c r="T14" s="1">
        <v>1</v>
      </c>
      <c r="U14" s="1">
        <v>4</v>
      </c>
      <c r="V14" s="1">
        <v>4</v>
      </c>
      <c r="W14" s="1">
        <v>3</v>
      </c>
      <c r="X14" s="1">
        <v>5</v>
      </c>
      <c r="Y14" s="1">
        <v>5</v>
      </c>
      <c r="Z14" s="1">
        <v>4</v>
      </c>
      <c r="AA14" s="1">
        <v>3</v>
      </c>
    </row>
    <row r="15" spans="1:27" x14ac:dyDescent="0.25">
      <c r="A15" s="3">
        <v>14</v>
      </c>
      <c r="B15" s="3" t="s">
        <v>3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  <c r="Y15" s="1">
        <v>5</v>
      </c>
      <c r="Z15" s="1">
        <v>4</v>
      </c>
      <c r="AA15" s="1">
        <v>5</v>
      </c>
    </row>
    <row r="16" spans="1:27" x14ac:dyDescent="0.25">
      <c r="A16" s="3">
        <v>15</v>
      </c>
      <c r="B16" s="3" t="s">
        <v>11</v>
      </c>
      <c r="C16" s="1">
        <v>3</v>
      </c>
      <c r="D16" s="1">
        <v>5</v>
      </c>
      <c r="E16" s="1">
        <v>2</v>
      </c>
      <c r="F16" s="1">
        <v>2</v>
      </c>
      <c r="G16" s="1">
        <v>2</v>
      </c>
      <c r="H16" s="1">
        <v>3</v>
      </c>
      <c r="I16" s="1">
        <v>5</v>
      </c>
      <c r="J16" s="1">
        <v>5</v>
      </c>
      <c r="K16" s="1">
        <v>5</v>
      </c>
      <c r="L16" s="1">
        <v>5</v>
      </c>
      <c r="M16" s="1">
        <v>3</v>
      </c>
      <c r="N16" s="1">
        <v>3</v>
      </c>
      <c r="O16" s="1">
        <v>4</v>
      </c>
      <c r="P16" s="1">
        <v>5</v>
      </c>
      <c r="Q16" s="1">
        <v>4</v>
      </c>
      <c r="R16" s="1">
        <v>3</v>
      </c>
      <c r="S16" s="1">
        <v>4</v>
      </c>
      <c r="T16" s="1">
        <v>5</v>
      </c>
      <c r="U16" s="1">
        <v>5</v>
      </c>
      <c r="V16" s="1">
        <v>5</v>
      </c>
      <c r="W16" s="1">
        <v>5</v>
      </c>
      <c r="X16" s="1">
        <v>4</v>
      </c>
      <c r="Y16" s="1">
        <v>5</v>
      </c>
      <c r="Z16" s="1">
        <v>4</v>
      </c>
      <c r="AA16" s="1">
        <v>3</v>
      </c>
    </row>
    <row r="17" spans="1:27" x14ac:dyDescent="0.25">
      <c r="A17" s="3">
        <v>16</v>
      </c>
      <c r="B17" s="3" t="s">
        <v>12</v>
      </c>
      <c r="C17" s="1">
        <v>1</v>
      </c>
      <c r="D17" s="1">
        <v>4</v>
      </c>
      <c r="E17" s="1">
        <v>1</v>
      </c>
      <c r="F17" s="1">
        <v>1</v>
      </c>
      <c r="G17" s="1">
        <v>1</v>
      </c>
      <c r="H17" s="1">
        <v>2</v>
      </c>
      <c r="I17" s="1">
        <v>3</v>
      </c>
      <c r="J17" s="1">
        <v>5</v>
      </c>
      <c r="K17" s="1">
        <v>5</v>
      </c>
      <c r="L17" s="1">
        <v>2</v>
      </c>
      <c r="M17" s="1">
        <v>3</v>
      </c>
      <c r="N17" s="1">
        <v>2</v>
      </c>
      <c r="O17" s="1">
        <v>5</v>
      </c>
      <c r="P17" s="1">
        <v>2</v>
      </c>
      <c r="Q17" s="1">
        <v>5</v>
      </c>
      <c r="R17" s="1">
        <v>3</v>
      </c>
      <c r="S17" s="1">
        <v>2</v>
      </c>
      <c r="T17" s="1">
        <v>3</v>
      </c>
      <c r="U17" s="1">
        <v>2</v>
      </c>
      <c r="V17" s="1">
        <v>4</v>
      </c>
      <c r="W17" s="1">
        <v>2</v>
      </c>
      <c r="X17" s="1">
        <v>5</v>
      </c>
      <c r="Y17" s="1">
        <v>5</v>
      </c>
      <c r="Z17" s="1">
        <v>4</v>
      </c>
      <c r="AA17" s="1">
        <v>1</v>
      </c>
    </row>
    <row r="18" spans="1:27" x14ac:dyDescent="0.25">
      <c r="A18" s="3">
        <v>17</v>
      </c>
      <c r="B18" s="3" t="s">
        <v>15</v>
      </c>
      <c r="C18" s="1">
        <v>5</v>
      </c>
      <c r="D18" s="1">
        <v>4</v>
      </c>
      <c r="E18" s="1">
        <v>5</v>
      </c>
      <c r="F18" s="1">
        <v>5</v>
      </c>
      <c r="G18" s="1">
        <v>5</v>
      </c>
      <c r="H18" s="1">
        <v>5</v>
      </c>
      <c r="I18" s="1">
        <v>4</v>
      </c>
      <c r="J18" s="1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3</v>
      </c>
      <c r="U18" s="1">
        <v>5</v>
      </c>
      <c r="V18" s="1">
        <v>5</v>
      </c>
      <c r="W18" s="1">
        <v>5</v>
      </c>
      <c r="X18" s="1">
        <v>4</v>
      </c>
      <c r="Y18" s="1">
        <v>5</v>
      </c>
      <c r="Z18" s="1">
        <v>5</v>
      </c>
      <c r="AA18" s="1">
        <v>4</v>
      </c>
    </row>
    <row r="19" spans="1:27" x14ac:dyDescent="0.25">
      <c r="A19" s="3">
        <v>18</v>
      </c>
      <c r="B19" s="3" t="s">
        <v>17</v>
      </c>
      <c r="C19" s="1">
        <v>3</v>
      </c>
      <c r="D19" s="1">
        <v>5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5</v>
      </c>
      <c r="K19" s="1">
        <v>5</v>
      </c>
      <c r="L19" s="1">
        <v>2</v>
      </c>
      <c r="M19" s="1">
        <v>3</v>
      </c>
      <c r="N19" s="1">
        <v>1</v>
      </c>
      <c r="O19" s="1">
        <v>3</v>
      </c>
      <c r="P19" s="1">
        <v>2</v>
      </c>
      <c r="Q19" s="1">
        <v>3</v>
      </c>
      <c r="R19" s="1">
        <v>3</v>
      </c>
      <c r="S19" s="1">
        <v>5</v>
      </c>
      <c r="T19" s="1">
        <v>1</v>
      </c>
      <c r="U19" s="1">
        <v>5</v>
      </c>
      <c r="V19" s="1">
        <v>4</v>
      </c>
      <c r="W19" s="1">
        <v>2</v>
      </c>
      <c r="X19" s="1">
        <v>5</v>
      </c>
      <c r="Y19" s="1">
        <v>5</v>
      </c>
      <c r="Z19" s="1">
        <v>4</v>
      </c>
      <c r="AA19" s="1">
        <v>4</v>
      </c>
    </row>
    <row r="20" spans="1:27" x14ac:dyDescent="0.25">
      <c r="A20" s="3">
        <v>19</v>
      </c>
      <c r="B20" s="3" t="s">
        <v>19</v>
      </c>
      <c r="C20" s="1">
        <v>3</v>
      </c>
      <c r="D20" s="1">
        <v>4</v>
      </c>
      <c r="E20" s="1">
        <v>1</v>
      </c>
      <c r="F20" s="1">
        <v>1</v>
      </c>
      <c r="G20" s="1">
        <v>1</v>
      </c>
      <c r="H20" s="1">
        <v>2</v>
      </c>
      <c r="I20" s="1">
        <v>4</v>
      </c>
      <c r="J20" s="1">
        <v>5</v>
      </c>
      <c r="K20" s="1">
        <v>5</v>
      </c>
      <c r="L20" s="1">
        <v>4</v>
      </c>
      <c r="M20" s="1">
        <v>3</v>
      </c>
      <c r="N20" s="1">
        <v>4</v>
      </c>
      <c r="O20" s="1">
        <v>2</v>
      </c>
      <c r="P20" s="1">
        <v>4</v>
      </c>
      <c r="Q20" s="1">
        <v>2</v>
      </c>
      <c r="R20" s="1">
        <v>3</v>
      </c>
      <c r="S20" s="1">
        <v>5</v>
      </c>
      <c r="T20" s="1">
        <v>5</v>
      </c>
      <c r="U20" s="1">
        <v>5</v>
      </c>
      <c r="V20" s="1">
        <v>3</v>
      </c>
      <c r="W20" s="1">
        <v>4</v>
      </c>
      <c r="X20" s="1">
        <v>4</v>
      </c>
      <c r="Y20" s="1">
        <v>5</v>
      </c>
      <c r="Z20" s="1">
        <v>4</v>
      </c>
      <c r="AA20" s="1">
        <v>1</v>
      </c>
    </row>
    <row r="21" spans="1:27" x14ac:dyDescent="0.25">
      <c r="A21" s="3">
        <v>20</v>
      </c>
      <c r="B21" s="3" t="s">
        <v>8</v>
      </c>
      <c r="C21" s="1">
        <v>5</v>
      </c>
      <c r="D21" s="1">
        <v>3</v>
      </c>
      <c r="E21" s="1">
        <v>3</v>
      </c>
      <c r="F21" s="1">
        <v>3</v>
      </c>
      <c r="G21" s="1">
        <v>3</v>
      </c>
      <c r="H21" s="1">
        <v>1</v>
      </c>
      <c r="I21" s="1">
        <v>2</v>
      </c>
      <c r="J21" s="1">
        <v>2</v>
      </c>
      <c r="K21" s="1">
        <v>2</v>
      </c>
      <c r="L21" s="1">
        <v>5</v>
      </c>
      <c r="M21" s="1">
        <v>2</v>
      </c>
      <c r="N21" s="1">
        <v>1</v>
      </c>
      <c r="O21" s="1">
        <v>5</v>
      </c>
      <c r="P21" s="1">
        <v>5</v>
      </c>
      <c r="Q21" s="1">
        <v>5</v>
      </c>
      <c r="R21" s="1">
        <v>2</v>
      </c>
      <c r="S21" s="1">
        <v>3</v>
      </c>
      <c r="T21" s="1">
        <v>1</v>
      </c>
      <c r="U21" s="1">
        <v>3</v>
      </c>
      <c r="V21" s="1">
        <v>5</v>
      </c>
      <c r="W21" s="1">
        <v>5</v>
      </c>
      <c r="X21" s="1">
        <v>2</v>
      </c>
      <c r="Y21" s="1">
        <v>2</v>
      </c>
      <c r="Z21" s="1">
        <v>3</v>
      </c>
      <c r="AA21" s="1">
        <v>4</v>
      </c>
    </row>
    <row r="22" spans="1:27" x14ac:dyDescent="0.25">
      <c r="A22" s="3">
        <v>21</v>
      </c>
      <c r="B22" s="3" t="s">
        <v>2</v>
      </c>
      <c r="C22" s="1">
        <v>2</v>
      </c>
      <c r="D22" s="1">
        <v>4</v>
      </c>
      <c r="E22" s="1">
        <v>1</v>
      </c>
      <c r="F22" s="1">
        <v>1</v>
      </c>
      <c r="G22" s="1">
        <v>1</v>
      </c>
      <c r="H22" s="1">
        <v>1</v>
      </c>
      <c r="I22" s="1">
        <v>3</v>
      </c>
      <c r="J22" s="1">
        <v>2</v>
      </c>
      <c r="K22" s="1">
        <v>2</v>
      </c>
      <c r="L22" s="1">
        <v>2</v>
      </c>
      <c r="M22" s="1">
        <v>2</v>
      </c>
      <c r="N22" s="1">
        <v>1</v>
      </c>
      <c r="O22" s="1">
        <v>5</v>
      </c>
      <c r="P22" s="1">
        <v>2</v>
      </c>
      <c r="Q22" s="1">
        <v>5</v>
      </c>
      <c r="R22" s="1">
        <v>2</v>
      </c>
      <c r="S22" s="1">
        <v>2</v>
      </c>
      <c r="T22" s="1">
        <v>1</v>
      </c>
      <c r="U22" s="1">
        <v>1</v>
      </c>
      <c r="V22" s="1">
        <v>5</v>
      </c>
      <c r="W22" s="1">
        <v>2</v>
      </c>
      <c r="X22" s="1">
        <v>5</v>
      </c>
      <c r="Y22" s="1">
        <v>2</v>
      </c>
      <c r="Z22" s="1">
        <v>5</v>
      </c>
      <c r="AA22" s="1">
        <v>1</v>
      </c>
    </row>
  </sheetData>
  <conditionalFormatting sqref="C2:AA22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372D-0083-47B9-8A17-B4138D542533}">
  <dimension ref="A1:E22"/>
  <sheetViews>
    <sheetView tabSelected="1" workbookViewId="0">
      <selection activeCell="L26" sqref="L26"/>
    </sheetView>
  </sheetViews>
  <sheetFormatPr baseColWidth="10" defaultRowHeight="15" x14ac:dyDescent="0.25"/>
  <cols>
    <col min="2" max="2" width="40.7109375" bestFit="1" customWidth="1"/>
    <col min="3" max="3" width="18.140625" style="7" customWidth="1"/>
    <col min="4" max="4" width="17.85546875" style="7" customWidth="1"/>
    <col min="5" max="5" width="19.85546875" customWidth="1"/>
  </cols>
  <sheetData>
    <row r="1" spans="1:5" ht="15.75" thickBot="1" x14ac:dyDescent="0.3">
      <c r="A1" s="23" t="s">
        <v>46</v>
      </c>
      <c r="B1" s="24" t="s">
        <v>87</v>
      </c>
      <c r="C1" s="27" t="s">
        <v>140</v>
      </c>
      <c r="D1" s="27" t="s">
        <v>143</v>
      </c>
      <c r="E1" s="27" t="s">
        <v>146</v>
      </c>
    </row>
    <row r="2" spans="1:5" x14ac:dyDescent="0.25">
      <c r="A2" s="18">
        <v>1</v>
      </c>
      <c r="B2" s="19" t="s">
        <v>10</v>
      </c>
      <c r="C2" s="22">
        <v>0.1845</v>
      </c>
      <c r="D2" s="22">
        <v>1.149435E-2</v>
      </c>
      <c r="E2" s="22">
        <v>0.19599435000000001</v>
      </c>
    </row>
    <row r="3" spans="1:5" x14ac:dyDescent="0.25">
      <c r="A3" s="15">
        <v>2</v>
      </c>
      <c r="B3" s="9" t="s">
        <v>1</v>
      </c>
      <c r="C3" s="11">
        <v>0.155</v>
      </c>
      <c r="D3" s="11">
        <v>1.9313000000000002E-3</v>
      </c>
      <c r="E3" s="11">
        <v>0.1569313</v>
      </c>
    </row>
    <row r="4" spans="1:5" x14ac:dyDescent="0.25">
      <c r="A4" s="15">
        <v>3</v>
      </c>
      <c r="B4" s="9" t="s">
        <v>4</v>
      </c>
      <c r="C4" s="11">
        <v>0.59499999999999997</v>
      </c>
      <c r="D4" s="11">
        <v>0</v>
      </c>
      <c r="E4" s="11">
        <v>0.59499999999999997</v>
      </c>
    </row>
    <row r="5" spans="1:5" x14ac:dyDescent="0.25">
      <c r="A5" s="15">
        <v>4</v>
      </c>
      <c r="B5" s="9" t="s">
        <v>13</v>
      </c>
      <c r="C5" s="11">
        <v>0.185</v>
      </c>
      <c r="D5" s="11">
        <v>2.3051E-3</v>
      </c>
      <c r="E5" s="11">
        <v>0.1873051</v>
      </c>
    </row>
    <row r="6" spans="1:5" x14ac:dyDescent="0.25">
      <c r="A6" s="15">
        <v>5</v>
      </c>
      <c r="B6" s="9" t="s">
        <v>16</v>
      </c>
      <c r="C6" s="11">
        <v>0.69</v>
      </c>
      <c r="D6" s="11">
        <v>8.5973999999999998E-3</v>
      </c>
      <c r="E6" s="11">
        <v>0.69859740000000004</v>
      </c>
    </row>
    <row r="7" spans="1:5" x14ac:dyDescent="0.25">
      <c r="A7" s="15">
        <v>6</v>
      </c>
      <c r="B7" s="9" t="s">
        <v>9</v>
      </c>
      <c r="C7" s="11">
        <v>110</v>
      </c>
      <c r="D7" s="11">
        <v>4.1117999999999997</v>
      </c>
      <c r="E7" s="11">
        <v>114.11179999999999</v>
      </c>
    </row>
    <row r="8" spans="1:5" x14ac:dyDescent="0.25">
      <c r="A8" s="15">
        <v>7</v>
      </c>
      <c r="B8" s="9" t="s">
        <v>47</v>
      </c>
      <c r="C8" s="11">
        <v>32.5</v>
      </c>
      <c r="D8" s="11">
        <v>1.21485</v>
      </c>
      <c r="E8" s="11">
        <v>33.714849999999998</v>
      </c>
    </row>
    <row r="9" spans="1:5" x14ac:dyDescent="0.25">
      <c r="A9" s="15">
        <v>8</v>
      </c>
      <c r="B9" s="9" t="s">
        <v>0</v>
      </c>
      <c r="C9" s="11">
        <v>67.5</v>
      </c>
      <c r="D9" s="11">
        <v>0.84105000000000008</v>
      </c>
      <c r="E9" s="11">
        <v>68.341049999999996</v>
      </c>
    </row>
    <row r="10" spans="1:5" x14ac:dyDescent="0.25">
      <c r="A10" s="15">
        <v>9</v>
      </c>
      <c r="B10" s="9" t="s">
        <v>5</v>
      </c>
      <c r="C10" s="11">
        <v>125</v>
      </c>
      <c r="D10" s="11">
        <v>18.689999999999998</v>
      </c>
      <c r="E10" s="11">
        <v>143.69</v>
      </c>
    </row>
    <row r="11" spans="1:5" x14ac:dyDescent="0.25">
      <c r="A11" s="15">
        <v>10</v>
      </c>
      <c r="B11" s="9" t="s">
        <v>20</v>
      </c>
      <c r="C11" s="11">
        <v>112.5</v>
      </c>
      <c r="D11" s="11">
        <v>4.2052499999999995</v>
      </c>
      <c r="E11" s="11">
        <v>116.70525000000001</v>
      </c>
    </row>
    <row r="12" spans="1:5" x14ac:dyDescent="0.25">
      <c r="A12" s="15">
        <v>11</v>
      </c>
      <c r="B12" s="9" t="s">
        <v>6</v>
      </c>
      <c r="C12" s="11">
        <v>167.5</v>
      </c>
      <c r="D12" s="11">
        <v>12.522299999999998</v>
      </c>
      <c r="E12" s="11">
        <v>180.0223</v>
      </c>
    </row>
    <row r="13" spans="1:5" x14ac:dyDescent="0.25">
      <c r="A13" s="15">
        <v>12</v>
      </c>
      <c r="B13" s="9" t="s">
        <v>7</v>
      </c>
      <c r="C13" s="11">
        <v>300</v>
      </c>
      <c r="D13" s="11">
        <v>22.427999999999997</v>
      </c>
      <c r="E13" s="11">
        <v>322.428</v>
      </c>
    </row>
    <row r="14" spans="1:5" x14ac:dyDescent="0.25">
      <c r="A14" s="15">
        <v>13</v>
      </c>
      <c r="B14" s="9" t="s">
        <v>18</v>
      </c>
      <c r="C14" s="11">
        <v>155</v>
      </c>
      <c r="D14" s="11">
        <v>0.77251999999999998</v>
      </c>
      <c r="E14" s="11">
        <v>155.77252000000001</v>
      </c>
    </row>
    <row r="15" spans="1:5" x14ac:dyDescent="0.25">
      <c r="A15" s="15">
        <v>14</v>
      </c>
      <c r="B15" s="9" t="s">
        <v>3</v>
      </c>
      <c r="C15" s="11">
        <v>90</v>
      </c>
      <c r="D15" s="11">
        <v>6.7283999999999997</v>
      </c>
      <c r="E15" s="11">
        <v>96.728400000000008</v>
      </c>
    </row>
    <row r="16" spans="1:5" x14ac:dyDescent="0.25">
      <c r="A16" s="15">
        <v>15</v>
      </c>
      <c r="B16" s="9" t="s">
        <v>11</v>
      </c>
      <c r="C16" s="11">
        <v>142.5</v>
      </c>
      <c r="D16" s="11">
        <v>1.77555</v>
      </c>
      <c r="E16" s="11">
        <v>144.27555000000001</v>
      </c>
    </row>
    <row r="17" spans="1:5" x14ac:dyDescent="0.25">
      <c r="A17" s="15">
        <v>16</v>
      </c>
      <c r="B17" s="9" t="s">
        <v>12</v>
      </c>
      <c r="C17" s="11">
        <v>120</v>
      </c>
      <c r="D17" s="11">
        <v>4.4855999999999998</v>
      </c>
      <c r="E17" s="11">
        <v>124.48560000000001</v>
      </c>
    </row>
    <row r="18" spans="1:5" x14ac:dyDescent="0.25">
      <c r="A18" s="15">
        <v>17</v>
      </c>
      <c r="B18" s="9" t="s">
        <v>15</v>
      </c>
      <c r="C18" s="11">
        <v>90</v>
      </c>
      <c r="D18" s="11">
        <v>5.6070000000000002</v>
      </c>
      <c r="E18" s="11">
        <v>95.606999999999999</v>
      </c>
    </row>
    <row r="19" spans="1:5" x14ac:dyDescent="0.25">
      <c r="A19" s="15">
        <v>18</v>
      </c>
      <c r="B19" s="9" t="s">
        <v>17</v>
      </c>
      <c r="C19" s="11">
        <v>182.5</v>
      </c>
      <c r="D19" s="11">
        <v>4.5479000000000003</v>
      </c>
      <c r="E19" s="11">
        <v>187.0479</v>
      </c>
    </row>
    <row r="20" spans="1:5" x14ac:dyDescent="0.25">
      <c r="A20" s="15">
        <v>19</v>
      </c>
      <c r="B20" s="9" t="s">
        <v>19</v>
      </c>
      <c r="C20" s="11">
        <v>167.5</v>
      </c>
      <c r="D20" s="11">
        <v>6.2611499999999998</v>
      </c>
      <c r="E20" s="11">
        <v>173.76114999999999</v>
      </c>
    </row>
    <row r="21" spans="1:5" x14ac:dyDescent="0.25">
      <c r="A21" s="15">
        <v>20</v>
      </c>
      <c r="B21" s="9" t="s">
        <v>8</v>
      </c>
      <c r="C21" s="11">
        <v>0.36</v>
      </c>
      <c r="D21" s="11">
        <v>2.2428E-2</v>
      </c>
      <c r="E21" s="11">
        <v>0.38242800000000005</v>
      </c>
    </row>
    <row r="22" spans="1:5" ht="15.75" thickBot="1" x14ac:dyDescent="0.3">
      <c r="A22" s="16">
        <v>21</v>
      </c>
      <c r="B22" s="17" t="s">
        <v>2</v>
      </c>
      <c r="C22" s="14">
        <v>122.5</v>
      </c>
      <c r="D22" s="14">
        <v>4.5790499999999996</v>
      </c>
      <c r="E22" s="14">
        <v>127.07905</v>
      </c>
    </row>
  </sheetData>
  <sortState xmlns:xlrd2="http://schemas.microsoft.com/office/spreadsheetml/2017/richdata2" ref="A2:D22">
    <sortCondition ref="A2:A2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D18E-3491-458D-84C1-FFF964B17FA7}">
  <dimension ref="A1:C48"/>
  <sheetViews>
    <sheetView workbookViewId="0">
      <selection activeCell="E52" sqref="E52"/>
    </sheetView>
  </sheetViews>
  <sheetFormatPr baseColWidth="10" defaultRowHeight="15" x14ac:dyDescent="0.25"/>
  <cols>
    <col min="1" max="1" width="11.42578125" style="7"/>
    <col min="2" max="2" width="30.28515625" bestFit="1" customWidth="1"/>
    <col min="3" max="3" width="29.42578125" style="7" customWidth="1"/>
  </cols>
  <sheetData>
    <row r="1" spans="1:3" x14ac:dyDescent="0.25">
      <c r="A1" s="4" t="s">
        <v>46</v>
      </c>
      <c r="B1" s="4" t="s">
        <v>88</v>
      </c>
      <c r="C1" s="4" t="s">
        <v>136</v>
      </c>
    </row>
    <row r="2" spans="1:3" x14ac:dyDescent="0.25">
      <c r="A2" s="3">
        <v>1</v>
      </c>
      <c r="B2" s="28" t="s">
        <v>89</v>
      </c>
      <c r="C2" s="8">
        <v>1.9521923622592441</v>
      </c>
    </row>
    <row r="3" spans="1:3" x14ac:dyDescent="0.25">
      <c r="A3" s="3">
        <v>2</v>
      </c>
      <c r="B3" s="28" t="s">
        <v>90</v>
      </c>
      <c r="C3" s="8">
        <v>1.6284898535065551</v>
      </c>
    </row>
    <row r="4" spans="1:3" x14ac:dyDescent="0.25">
      <c r="A4" s="3">
        <v>3</v>
      </c>
      <c r="B4" s="28" t="s">
        <v>91</v>
      </c>
      <c r="C4" s="8">
        <v>1.1851707353780325</v>
      </c>
    </row>
    <row r="5" spans="1:3" x14ac:dyDescent="0.25">
      <c r="A5" s="3">
        <v>4</v>
      </c>
      <c r="B5" s="28" t="s">
        <v>92</v>
      </c>
      <c r="C5" s="8">
        <v>1.7972871645839448</v>
      </c>
    </row>
    <row r="6" spans="1:3" x14ac:dyDescent="0.25">
      <c r="A6" s="3">
        <v>5</v>
      </c>
      <c r="B6" s="28" t="s">
        <v>93</v>
      </c>
      <c r="C6" s="8">
        <v>1.2315611499619477</v>
      </c>
    </row>
    <row r="7" spans="1:3" x14ac:dyDescent="0.25">
      <c r="A7" s="3">
        <v>6</v>
      </c>
      <c r="B7" s="28" t="s">
        <v>94</v>
      </c>
      <c r="C7" s="8">
        <v>1.2737814240275063</v>
      </c>
    </row>
    <row r="8" spans="1:3" x14ac:dyDescent="0.25">
      <c r="A8" s="3">
        <v>7</v>
      </c>
      <c r="B8" s="28" t="s">
        <v>95</v>
      </c>
      <c r="C8" s="8">
        <v>1.2332790884543738</v>
      </c>
    </row>
    <row r="9" spans="1:3" x14ac:dyDescent="0.25">
      <c r="A9" s="3">
        <v>8</v>
      </c>
      <c r="B9" s="28" t="s">
        <v>96</v>
      </c>
      <c r="C9" s="8">
        <v>0.74212215492963052</v>
      </c>
    </row>
    <row r="10" spans="1:3" x14ac:dyDescent="0.25">
      <c r="A10" s="3">
        <v>9</v>
      </c>
      <c r="B10" s="28" t="s">
        <v>97</v>
      </c>
      <c r="C10" s="8">
        <v>1.2315611499619477</v>
      </c>
    </row>
    <row r="11" spans="1:3" x14ac:dyDescent="0.25">
      <c r="A11" s="3">
        <v>10</v>
      </c>
      <c r="B11" s="28" t="s">
        <v>98</v>
      </c>
      <c r="C11" s="8">
        <v>1.1500578683598512</v>
      </c>
    </row>
    <row r="12" spans="1:3" x14ac:dyDescent="0.25">
      <c r="A12" s="3">
        <v>11</v>
      </c>
      <c r="B12" s="28" t="s">
        <v>99</v>
      </c>
      <c r="C12" s="8">
        <v>1.2315611499619477</v>
      </c>
    </row>
    <row r="13" spans="1:3" x14ac:dyDescent="0.25">
      <c r="A13" s="3">
        <v>12</v>
      </c>
      <c r="B13" s="28" t="s">
        <v>100</v>
      </c>
      <c r="C13" s="8">
        <v>2.9421171851376009</v>
      </c>
    </row>
    <row r="14" spans="1:3" x14ac:dyDescent="0.25">
      <c r="A14" s="3">
        <v>13</v>
      </c>
      <c r="B14" s="28" t="s">
        <v>101</v>
      </c>
      <c r="C14" s="8">
        <v>1.7100882487377209</v>
      </c>
    </row>
    <row r="15" spans="1:3" x14ac:dyDescent="0.25">
      <c r="A15" s="3">
        <v>14</v>
      </c>
      <c r="B15" s="28" t="s">
        <v>102</v>
      </c>
      <c r="C15" s="8">
        <v>1.2633857690792911</v>
      </c>
    </row>
    <row r="16" spans="1:3" x14ac:dyDescent="0.25">
      <c r="A16" s="3">
        <v>15</v>
      </c>
      <c r="B16" s="28" t="s">
        <v>103</v>
      </c>
      <c r="C16" s="8">
        <v>1.4637697704481794</v>
      </c>
    </row>
    <row r="17" spans="1:3" x14ac:dyDescent="0.25">
      <c r="A17" s="3">
        <v>16</v>
      </c>
      <c r="B17" s="28" t="s">
        <v>104</v>
      </c>
      <c r="C17" s="8">
        <v>1.2315611499619477</v>
      </c>
    </row>
    <row r="18" spans="1:3" x14ac:dyDescent="0.25">
      <c r="A18" s="3">
        <v>17</v>
      </c>
      <c r="B18" s="28" t="s">
        <v>105</v>
      </c>
      <c r="C18" s="8">
        <v>1.682081010785373</v>
      </c>
    </row>
    <row r="19" spans="1:3" x14ac:dyDescent="0.25">
      <c r="A19" s="3">
        <v>18</v>
      </c>
      <c r="B19" s="28" t="s">
        <v>106</v>
      </c>
      <c r="C19" s="8">
        <v>1.1888131052990574</v>
      </c>
    </row>
    <row r="20" spans="1:3" x14ac:dyDescent="0.25">
      <c r="A20" s="3">
        <v>19</v>
      </c>
      <c r="B20" s="28" t="s">
        <v>107</v>
      </c>
      <c r="C20" s="8">
        <v>0.9938350421100185</v>
      </c>
    </row>
    <row r="21" spans="1:3" x14ac:dyDescent="0.25">
      <c r="A21" s="3">
        <v>20</v>
      </c>
      <c r="B21" s="28" t="s">
        <v>108</v>
      </c>
      <c r="C21" s="8">
        <v>1</v>
      </c>
    </row>
    <row r="22" spans="1:3" x14ac:dyDescent="0.25">
      <c r="A22" s="3">
        <v>21</v>
      </c>
      <c r="B22" s="28" t="s">
        <v>109</v>
      </c>
      <c r="C22" s="8">
        <v>1.2283637064240476</v>
      </c>
    </row>
    <row r="23" spans="1:3" x14ac:dyDescent="0.25">
      <c r="A23" s="3">
        <v>22</v>
      </c>
      <c r="B23" s="28" t="s">
        <v>110</v>
      </c>
      <c r="C23" s="8">
        <v>1.2788765882965567</v>
      </c>
    </row>
    <row r="24" spans="1:3" x14ac:dyDescent="0.25">
      <c r="A24" s="3">
        <v>23</v>
      </c>
      <c r="B24" s="28" t="s">
        <v>111</v>
      </c>
      <c r="C24" s="8">
        <v>0.9429541470817947</v>
      </c>
    </row>
    <row r="25" spans="1:3" x14ac:dyDescent="0.25">
      <c r="A25" s="3">
        <v>24</v>
      </c>
      <c r="B25" s="28" t="s">
        <v>112</v>
      </c>
      <c r="C25" s="8">
        <v>1.1114323478539345</v>
      </c>
    </row>
    <row r="26" spans="1:3" x14ac:dyDescent="0.25">
      <c r="A26" s="3">
        <v>25</v>
      </c>
      <c r="B26" s="28" t="s">
        <v>113</v>
      </c>
      <c r="C26" s="8">
        <v>1.7668971416794703</v>
      </c>
    </row>
    <row r="27" spans="1:3" x14ac:dyDescent="0.25">
      <c r="A27" s="3">
        <v>26</v>
      </c>
      <c r="B27" s="28" t="s">
        <v>114</v>
      </c>
      <c r="C27" s="8">
        <v>1.1980766656509605</v>
      </c>
    </row>
    <row r="28" spans="1:3" x14ac:dyDescent="0.25">
      <c r="A28" s="3">
        <v>27</v>
      </c>
      <c r="B28" s="28" t="s">
        <v>115</v>
      </c>
      <c r="C28" s="8">
        <v>1.9288272762418934</v>
      </c>
    </row>
    <row r="29" spans="1:3" x14ac:dyDescent="0.25">
      <c r="A29" s="3">
        <v>28</v>
      </c>
      <c r="B29" s="28" t="s">
        <v>116</v>
      </c>
      <c r="C29" s="8">
        <v>1.5333898274025852</v>
      </c>
    </row>
    <row r="30" spans="1:3" x14ac:dyDescent="0.25">
      <c r="A30" s="3">
        <v>29</v>
      </c>
      <c r="B30" s="28" t="s">
        <v>117</v>
      </c>
      <c r="C30" s="8">
        <v>1.5547110300185263</v>
      </c>
    </row>
    <row r="31" spans="1:3" x14ac:dyDescent="0.25">
      <c r="A31" s="3">
        <v>30</v>
      </c>
      <c r="B31" s="28" t="s">
        <v>118</v>
      </c>
      <c r="C31" s="8">
        <v>0.94772237616551946</v>
      </c>
    </row>
    <row r="32" spans="1:3" x14ac:dyDescent="0.25">
      <c r="A32" s="3">
        <v>31</v>
      </c>
      <c r="B32" s="28" t="s">
        <v>119</v>
      </c>
      <c r="C32" s="8">
        <v>1.1497475211152945</v>
      </c>
    </row>
    <row r="33" spans="1:3" x14ac:dyDescent="0.25">
      <c r="A33" s="3">
        <v>32</v>
      </c>
      <c r="B33" s="28" t="s">
        <v>120</v>
      </c>
      <c r="C33" s="8">
        <v>1.1379646495142843</v>
      </c>
    </row>
    <row r="34" spans="1:3" x14ac:dyDescent="0.25">
      <c r="A34" s="3">
        <v>33</v>
      </c>
      <c r="B34" s="28" t="s">
        <v>121</v>
      </c>
      <c r="C34" s="8">
        <v>1.4737046387861026</v>
      </c>
    </row>
    <row r="35" spans="1:3" x14ac:dyDescent="0.25">
      <c r="A35" s="3">
        <v>34</v>
      </c>
      <c r="B35" s="28" t="s">
        <v>122</v>
      </c>
      <c r="C35" s="8">
        <v>1.2315611499619477</v>
      </c>
    </row>
    <row r="36" spans="1:3" x14ac:dyDescent="0.25">
      <c r="A36" s="3">
        <v>35</v>
      </c>
      <c r="B36" s="28" t="s">
        <v>123</v>
      </c>
      <c r="C36" s="8">
        <v>1.2315611499619472</v>
      </c>
    </row>
    <row r="37" spans="1:3" x14ac:dyDescent="0.25">
      <c r="A37" s="3">
        <v>36</v>
      </c>
      <c r="B37" s="28" t="s">
        <v>124</v>
      </c>
      <c r="C37" s="8">
        <v>1.7070056082872413</v>
      </c>
    </row>
    <row r="38" spans="1:3" x14ac:dyDescent="0.25">
      <c r="A38" s="3">
        <v>37</v>
      </c>
      <c r="B38" s="28" t="s">
        <v>125</v>
      </c>
      <c r="C38" s="8">
        <v>1.1982312823004824</v>
      </c>
    </row>
    <row r="39" spans="1:3" x14ac:dyDescent="0.25">
      <c r="A39" s="3">
        <v>38</v>
      </c>
      <c r="B39" s="28" t="s">
        <v>126</v>
      </c>
      <c r="C39" s="8">
        <v>1.2315611499619472</v>
      </c>
    </row>
    <row r="40" spans="1:3" x14ac:dyDescent="0.25">
      <c r="A40" s="3">
        <v>39</v>
      </c>
      <c r="B40" s="28" t="s">
        <v>127</v>
      </c>
      <c r="C40" s="8">
        <v>1.2374654786185204</v>
      </c>
    </row>
    <row r="41" spans="1:3" x14ac:dyDescent="0.25">
      <c r="A41" s="3">
        <v>40</v>
      </c>
      <c r="B41" s="28" t="s">
        <v>128</v>
      </c>
      <c r="C41" s="8">
        <v>1.3018976247428211</v>
      </c>
    </row>
    <row r="42" spans="1:3" x14ac:dyDescent="0.25">
      <c r="A42" s="3">
        <v>41</v>
      </c>
      <c r="B42" s="28" t="s">
        <v>129</v>
      </c>
      <c r="C42" s="8">
        <v>1.149107933209045</v>
      </c>
    </row>
    <row r="43" spans="1:3" x14ac:dyDescent="0.25">
      <c r="A43" s="3">
        <v>42</v>
      </c>
      <c r="B43" s="28" t="s">
        <v>130</v>
      </c>
      <c r="C43" s="8">
        <v>1.2315611499619477</v>
      </c>
    </row>
    <row r="44" spans="1:3" x14ac:dyDescent="0.25">
      <c r="A44" s="3">
        <v>43</v>
      </c>
      <c r="B44" s="28" t="s">
        <v>131</v>
      </c>
      <c r="C44" s="8">
        <v>1.7292458164181437</v>
      </c>
    </row>
    <row r="45" spans="1:3" x14ac:dyDescent="0.25">
      <c r="A45" s="3">
        <v>44</v>
      </c>
      <c r="B45" s="28" t="s">
        <v>132</v>
      </c>
      <c r="C45" s="8">
        <v>1.2315611499619472</v>
      </c>
    </row>
    <row r="46" spans="1:3" x14ac:dyDescent="0.25">
      <c r="A46" s="3">
        <v>45</v>
      </c>
      <c r="B46" s="28" t="s">
        <v>133</v>
      </c>
      <c r="C46" s="8">
        <v>1.2315611499619477</v>
      </c>
    </row>
    <row r="47" spans="1:3" x14ac:dyDescent="0.25">
      <c r="A47" s="3">
        <v>46</v>
      </c>
      <c r="B47" s="28" t="s">
        <v>134</v>
      </c>
      <c r="C47" s="8">
        <v>1.9288272762418932</v>
      </c>
    </row>
    <row r="48" spans="1:3" x14ac:dyDescent="0.25">
      <c r="A48" s="3">
        <v>47</v>
      </c>
      <c r="B48" s="28" t="s">
        <v>135</v>
      </c>
      <c r="C48" s="8">
        <v>1.5970839343084233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7822-AB99-4400-8C97-801C5D0131AB}">
  <dimension ref="A1:G6"/>
  <sheetViews>
    <sheetView zoomScale="160" zoomScaleNormal="160" workbookViewId="0">
      <selection activeCell="D12" sqref="D12"/>
    </sheetView>
  </sheetViews>
  <sheetFormatPr baseColWidth="10" defaultRowHeight="15" x14ac:dyDescent="0.25"/>
  <cols>
    <col min="1" max="1" width="10.140625" style="36" bestFit="1" customWidth="1"/>
    <col min="2" max="2" width="14.140625" style="36" bestFit="1" customWidth="1"/>
    <col min="3" max="5" width="14.140625" style="36" customWidth="1"/>
    <col min="6" max="6" width="10.85546875" style="36" bestFit="1" customWidth="1"/>
    <col min="7" max="7" width="15.28515625" style="36" bestFit="1" customWidth="1"/>
    <col min="8" max="16384" width="11.42578125" style="30"/>
  </cols>
  <sheetData>
    <row r="1" spans="1:7" x14ac:dyDescent="0.25">
      <c r="A1" s="29" t="s">
        <v>147</v>
      </c>
      <c r="B1" s="37" t="s">
        <v>148</v>
      </c>
      <c r="C1" s="37" t="s">
        <v>149</v>
      </c>
      <c r="D1" s="37" t="s">
        <v>150</v>
      </c>
      <c r="E1" s="37" t="s">
        <v>151</v>
      </c>
      <c r="F1" s="37" t="s">
        <v>152</v>
      </c>
      <c r="G1" s="37" t="s">
        <v>153</v>
      </c>
    </row>
    <row r="2" spans="1:7" x14ac:dyDescent="0.25">
      <c r="A2" s="31">
        <v>1</v>
      </c>
      <c r="B2" s="38">
        <v>0</v>
      </c>
      <c r="C2" s="38">
        <v>30</v>
      </c>
      <c r="D2" s="38">
        <v>0</v>
      </c>
      <c r="E2" s="38">
        <v>1</v>
      </c>
      <c r="F2" s="38">
        <v>0</v>
      </c>
      <c r="G2" s="38">
        <v>30</v>
      </c>
    </row>
    <row r="3" spans="1:7" x14ac:dyDescent="0.25">
      <c r="A3" s="32">
        <v>2</v>
      </c>
      <c r="B3" s="38">
        <v>30</v>
      </c>
      <c r="C3" s="38">
        <v>100</v>
      </c>
      <c r="D3" s="38">
        <v>1</v>
      </c>
      <c r="E3" s="38">
        <v>2</v>
      </c>
      <c r="F3" s="38">
        <v>30</v>
      </c>
      <c r="G3" s="38">
        <v>100</v>
      </c>
    </row>
    <row r="4" spans="1:7" x14ac:dyDescent="0.25">
      <c r="A4" s="33">
        <v>3</v>
      </c>
      <c r="B4" s="38">
        <v>100</v>
      </c>
      <c r="C4" s="38">
        <v>120</v>
      </c>
      <c r="D4" s="38">
        <v>2</v>
      </c>
      <c r="E4" s="38">
        <v>4</v>
      </c>
      <c r="F4" s="38">
        <v>100</v>
      </c>
      <c r="G4" s="38">
        <v>120</v>
      </c>
    </row>
    <row r="5" spans="1:7" x14ac:dyDescent="0.25">
      <c r="A5" s="34">
        <v>4</v>
      </c>
      <c r="B5" s="38">
        <v>120</v>
      </c>
      <c r="C5" s="38">
        <v>190</v>
      </c>
      <c r="D5" s="38">
        <v>7</v>
      </c>
      <c r="E5" s="38">
        <v>10</v>
      </c>
      <c r="F5" s="38">
        <v>120</v>
      </c>
      <c r="G5" s="38">
        <v>190</v>
      </c>
    </row>
    <row r="6" spans="1:7" ht="15.75" thickBot="1" x14ac:dyDescent="0.3">
      <c r="A6" s="35">
        <v>5</v>
      </c>
      <c r="B6" s="39">
        <v>190</v>
      </c>
      <c r="C6" s="39">
        <v>10000</v>
      </c>
      <c r="D6" s="39">
        <v>10</v>
      </c>
      <c r="E6" s="39">
        <v>10000</v>
      </c>
      <c r="F6" s="39">
        <v>190</v>
      </c>
      <c r="G6" s="39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6AEB-59C9-4E80-A2FD-965FFBB94B9A}">
  <dimension ref="A1:C26"/>
  <sheetViews>
    <sheetView workbookViewId="0">
      <selection activeCell="C1" sqref="A1:C26"/>
    </sheetView>
  </sheetViews>
  <sheetFormatPr baseColWidth="10" defaultRowHeight="15" x14ac:dyDescent="0.25"/>
  <cols>
    <col min="1" max="3" width="14" customWidth="1"/>
  </cols>
  <sheetData>
    <row r="1" spans="1:3" x14ac:dyDescent="0.25">
      <c r="A1" s="6" t="s">
        <v>154</v>
      </c>
      <c r="B1" s="6" t="s">
        <v>155</v>
      </c>
      <c r="C1" s="2" t="s">
        <v>156</v>
      </c>
    </row>
    <row r="2" spans="1:3" x14ac:dyDescent="0.25">
      <c r="A2" s="3">
        <v>1</v>
      </c>
      <c r="B2" s="3">
        <v>1</v>
      </c>
      <c r="C2" s="1">
        <v>1</v>
      </c>
    </row>
    <row r="3" spans="1:3" x14ac:dyDescent="0.25">
      <c r="A3" s="3">
        <v>2</v>
      </c>
      <c r="B3" s="3">
        <v>1</v>
      </c>
      <c r="C3" s="1">
        <v>1</v>
      </c>
    </row>
    <row r="4" spans="1:3" x14ac:dyDescent="0.25">
      <c r="A4" s="3">
        <v>3</v>
      </c>
      <c r="B4" s="3">
        <v>1</v>
      </c>
      <c r="C4" s="1">
        <v>1</v>
      </c>
    </row>
    <row r="5" spans="1:3" x14ac:dyDescent="0.25">
      <c r="A5" s="3">
        <v>4</v>
      </c>
      <c r="B5" s="3">
        <v>1</v>
      </c>
      <c r="C5" s="1">
        <v>1</v>
      </c>
    </row>
    <row r="6" spans="1:3" x14ac:dyDescent="0.25">
      <c r="A6" s="3">
        <v>5</v>
      </c>
      <c r="B6" s="3">
        <v>1</v>
      </c>
      <c r="C6" s="1">
        <v>1</v>
      </c>
    </row>
    <row r="7" spans="1:3" x14ac:dyDescent="0.25">
      <c r="A7" s="3">
        <v>1</v>
      </c>
      <c r="B7" s="3">
        <v>2</v>
      </c>
      <c r="C7" s="1">
        <v>2</v>
      </c>
    </row>
    <row r="8" spans="1:3" x14ac:dyDescent="0.25">
      <c r="A8" s="3">
        <v>2</v>
      </c>
      <c r="B8" s="3">
        <v>2</v>
      </c>
      <c r="C8" s="1">
        <v>2</v>
      </c>
    </row>
    <row r="9" spans="1:3" x14ac:dyDescent="0.25">
      <c r="A9" s="3">
        <v>3</v>
      </c>
      <c r="B9" s="3">
        <v>2</v>
      </c>
      <c r="C9" s="1">
        <v>1</v>
      </c>
    </row>
    <row r="10" spans="1:3" x14ac:dyDescent="0.25">
      <c r="A10" s="3">
        <v>4</v>
      </c>
      <c r="B10" s="3">
        <v>2</v>
      </c>
      <c r="C10" s="1">
        <v>1</v>
      </c>
    </row>
    <row r="11" spans="1:3" x14ac:dyDescent="0.25">
      <c r="A11" s="3">
        <v>5</v>
      </c>
      <c r="B11" s="3">
        <v>2</v>
      </c>
      <c r="C11" s="1">
        <v>1</v>
      </c>
    </row>
    <row r="12" spans="1:3" x14ac:dyDescent="0.25">
      <c r="A12" s="3">
        <v>1</v>
      </c>
      <c r="B12" s="3">
        <v>3</v>
      </c>
      <c r="C12" s="1">
        <v>3</v>
      </c>
    </row>
    <row r="13" spans="1:3" x14ac:dyDescent="0.25">
      <c r="A13" s="3">
        <v>2</v>
      </c>
      <c r="B13" s="3">
        <v>3</v>
      </c>
      <c r="C13" s="1">
        <v>3</v>
      </c>
    </row>
    <row r="14" spans="1:3" x14ac:dyDescent="0.25">
      <c r="A14" s="3">
        <v>3</v>
      </c>
      <c r="B14" s="3">
        <v>3</v>
      </c>
      <c r="C14" s="1">
        <v>2</v>
      </c>
    </row>
    <row r="15" spans="1:3" x14ac:dyDescent="0.25">
      <c r="A15" s="3">
        <v>4</v>
      </c>
      <c r="B15" s="3">
        <v>3</v>
      </c>
      <c r="C15" s="1">
        <v>2</v>
      </c>
    </row>
    <row r="16" spans="1:3" x14ac:dyDescent="0.25">
      <c r="A16" s="3">
        <v>5</v>
      </c>
      <c r="B16" s="3">
        <v>3</v>
      </c>
      <c r="C16" s="1">
        <v>1</v>
      </c>
    </row>
    <row r="17" spans="1:3" x14ac:dyDescent="0.25">
      <c r="A17" s="3">
        <v>1</v>
      </c>
      <c r="B17" s="3">
        <v>4</v>
      </c>
      <c r="C17" s="1">
        <v>4</v>
      </c>
    </row>
    <row r="18" spans="1:3" x14ac:dyDescent="0.25">
      <c r="A18" s="3">
        <v>2</v>
      </c>
      <c r="B18" s="3">
        <v>4</v>
      </c>
      <c r="C18" s="1">
        <v>4</v>
      </c>
    </row>
    <row r="19" spans="1:3" x14ac:dyDescent="0.25">
      <c r="A19" s="3">
        <v>3</v>
      </c>
      <c r="B19" s="3">
        <v>4</v>
      </c>
      <c r="C19" s="1">
        <v>3</v>
      </c>
    </row>
    <row r="20" spans="1:3" x14ac:dyDescent="0.25">
      <c r="A20" s="3">
        <v>4</v>
      </c>
      <c r="B20" s="3">
        <v>4</v>
      </c>
      <c r="C20" s="1">
        <v>3</v>
      </c>
    </row>
    <row r="21" spans="1:3" x14ac:dyDescent="0.25">
      <c r="A21" s="3">
        <v>5</v>
      </c>
      <c r="B21" s="3">
        <v>4</v>
      </c>
      <c r="C21" s="1">
        <v>2</v>
      </c>
    </row>
    <row r="22" spans="1:3" x14ac:dyDescent="0.25">
      <c r="A22" s="3">
        <v>1</v>
      </c>
      <c r="B22" s="3">
        <v>5</v>
      </c>
      <c r="C22" s="1">
        <v>5</v>
      </c>
    </row>
    <row r="23" spans="1:3" x14ac:dyDescent="0.25">
      <c r="A23" s="3">
        <v>2</v>
      </c>
      <c r="B23" s="3">
        <v>5</v>
      </c>
      <c r="C23" s="1">
        <v>5</v>
      </c>
    </row>
    <row r="24" spans="1:3" x14ac:dyDescent="0.25">
      <c r="A24" s="3">
        <v>3</v>
      </c>
      <c r="B24" s="3">
        <v>5</v>
      </c>
      <c r="C24" s="1">
        <v>4</v>
      </c>
    </row>
    <row r="25" spans="1:3" x14ac:dyDescent="0.25">
      <c r="A25" s="3">
        <v>4</v>
      </c>
      <c r="B25" s="3">
        <v>5</v>
      </c>
      <c r="C25" s="1">
        <v>4</v>
      </c>
    </row>
    <row r="26" spans="1:3" x14ac:dyDescent="0.25">
      <c r="A26" s="3">
        <v>5</v>
      </c>
      <c r="B26" s="3">
        <v>5</v>
      </c>
      <c r="C26" s="1">
        <v>3</v>
      </c>
    </row>
  </sheetData>
  <conditionalFormatting sqref="C2:C26">
    <cfRule type="colorScale" priority="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3074-4656-450C-980C-8D8B152584CA}">
  <dimension ref="A1:K22"/>
  <sheetViews>
    <sheetView workbookViewId="0">
      <selection activeCell="N23" sqref="N23"/>
    </sheetView>
  </sheetViews>
  <sheetFormatPr baseColWidth="10" defaultRowHeight="15" x14ac:dyDescent="0.25"/>
  <sheetData>
    <row r="1" spans="1:11" ht="29.25" thickBot="1" x14ac:dyDescent="0.3">
      <c r="A1" s="23" t="s">
        <v>46</v>
      </c>
      <c r="B1" s="24" t="s">
        <v>137</v>
      </c>
      <c r="C1" s="25" t="s">
        <v>138</v>
      </c>
      <c r="D1" s="26" t="s">
        <v>139</v>
      </c>
      <c r="E1" s="27" t="s">
        <v>140</v>
      </c>
      <c r="F1" s="25" t="s">
        <v>141</v>
      </c>
      <c r="G1" s="26" t="s">
        <v>142</v>
      </c>
      <c r="H1" s="27" t="s">
        <v>143</v>
      </c>
      <c r="I1" s="25" t="s">
        <v>144</v>
      </c>
      <c r="J1" s="26" t="s">
        <v>145</v>
      </c>
      <c r="K1" s="27" t="s">
        <v>146</v>
      </c>
    </row>
    <row r="2" spans="1:11" x14ac:dyDescent="0.25">
      <c r="A2" s="18">
        <v>1</v>
      </c>
      <c r="B2" s="19" t="s">
        <v>10</v>
      </c>
      <c r="C2" s="20">
        <v>0.122</v>
      </c>
      <c r="D2" s="21">
        <v>0.247</v>
      </c>
      <c r="E2" s="22">
        <f t="shared" ref="E2:E22" si="0">AVERAGE(C2:D2)</f>
        <v>0.1845</v>
      </c>
      <c r="F2" s="20">
        <v>7.6005999999999999E-3</v>
      </c>
      <c r="G2" s="21">
        <v>1.53881E-2</v>
      </c>
      <c r="H2" s="22">
        <f>AVERAGE(F2:G2)</f>
        <v>1.149435E-2</v>
      </c>
      <c r="I2" s="20">
        <v>0.12960060000000001</v>
      </c>
      <c r="J2" s="21">
        <v>0.26238810000000001</v>
      </c>
      <c r="K2" s="22">
        <f>AVERAGE(I2:J2)</f>
        <v>0.19599435000000001</v>
      </c>
    </row>
    <row r="3" spans="1:11" x14ac:dyDescent="0.25">
      <c r="A3" s="15">
        <v>2</v>
      </c>
      <c r="B3" s="9" t="s">
        <v>1</v>
      </c>
      <c r="C3" s="10">
        <v>0.11600000000000001</v>
      </c>
      <c r="D3" s="8">
        <v>0.19400000000000001</v>
      </c>
      <c r="E3" s="11">
        <f t="shared" si="0"/>
        <v>0.155</v>
      </c>
      <c r="F3" s="10">
        <v>1.4453600000000001E-3</v>
      </c>
      <c r="G3" s="8">
        <v>2.4172400000000002E-3</v>
      </c>
      <c r="H3" s="11">
        <f t="shared" ref="H3:H22" si="1">AVERAGE(F3:G3)</f>
        <v>1.9313000000000002E-3</v>
      </c>
      <c r="I3" s="10">
        <v>0.11744536000000001</v>
      </c>
      <c r="J3" s="8">
        <v>0.19641723999999999</v>
      </c>
      <c r="K3" s="11">
        <f t="shared" ref="K3:K22" si="2">AVERAGE(I3:J3)</f>
        <v>0.1569313</v>
      </c>
    </row>
    <row r="4" spans="1:11" x14ac:dyDescent="0.25">
      <c r="A4" s="15">
        <v>3</v>
      </c>
      <c r="B4" s="9" t="s">
        <v>4</v>
      </c>
      <c r="C4" s="10">
        <v>0.34</v>
      </c>
      <c r="D4" s="8">
        <v>0.85</v>
      </c>
      <c r="E4" s="11">
        <f t="shared" si="0"/>
        <v>0.59499999999999997</v>
      </c>
      <c r="F4" s="10">
        <v>0</v>
      </c>
      <c r="G4" s="8">
        <v>0</v>
      </c>
      <c r="H4" s="11">
        <f t="shared" si="1"/>
        <v>0</v>
      </c>
      <c r="I4" s="10">
        <v>0.34</v>
      </c>
      <c r="J4" s="8">
        <v>0.85</v>
      </c>
      <c r="K4" s="11">
        <f t="shared" si="2"/>
        <v>0.59499999999999997</v>
      </c>
    </row>
    <row r="5" spans="1:11" x14ac:dyDescent="0.25">
      <c r="A5" s="15">
        <v>4</v>
      </c>
      <c r="B5" s="9" t="s">
        <v>13</v>
      </c>
      <c r="C5" s="10">
        <v>0.11</v>
      </c>
      <c r="D5" s="8">
        <v>0.26</v>
      </c>
      <c r="E5" s="11">
        <f t="shared" si="0"/>
        <v>0.185</v>
      </c>
      <c r="F5" s="10">
        <v>1.3706E-3</v>
      </c>
      <c r="G5" s="8">
        <v>3.2396000000000005E-3</v>
      </c>
      <c r="H5" s="11">
        <f t="shared" si="1"/>
        <v>2.3051E-3</v>
      </c>
      <c r="I5" s="10">
        <v>0.1113706</v>
      </c>
      <c r="J5" s="8">
        <v>0.26323960000000002</v>
      </c>
      <c r="K5" s="11">
        <f t="shared" si="2"/>
        <v>0.1873051</v>
      </c>
    </row>
    <row r="6" spans="1:11" x14ac:dyDescent="0.25">
      <c r="A6" s="15">
        <v>5</v>
      </c>
      <c r="B6" s="9" t="s">
        <v>16</v>
      </c>
      <c r="C6" s="10">
        <v>0.39</v>
      </c>
      <c r="D6" s="8">
        <v>0.99</v>
      </c>
      <c r="E6" s="11">
        <f t="shared" si="0"/>
        <v>0.69</v>
      </c>
      <c r="F6" s="10">
        <v>4.8594000000000007E-3</v>
      </c>
      <c r="G6" s="8">
        <v>1.23354E-2</v>
      </c>
      <c r="H6" s="11">
        <f t="shared" si="1"/>
        <v>8.5973999999999998E-3</v>
      </c>
      <c r="I6" s="10">
        <v>0.39485940000000003</v>
      </c>
      <c r="J6" s="8">
        <v>1.0023354</v>
      </c>
      <c r="K6" s="11">
        <f t="shared" si="2"/>
        <v>0.69859740000000004</v>
      </c>
    </row>
    <row r="7" spans="1:11" x14ac:dyDescent="0.25">
      <c r="A7" s="15">
        <v>6</v>
      </c>
      <c r="B7" s="9" t="s">
        <v>9</v>
      </c>
      <c r="C7" s="10">
        <v>75</v>
      </c>
      <c r="D7" s="8">
        <v>145</v>
      </c>
      <c r="E7" s="11">
        <f t="shared" si="0"/>
        <v>110</v>
      </c>
      <c r="F7" s="10">
        <v>2.8034999999999997</v>
      </c>
      <c r="G7" s="8">
        <v>5.4200999999999997</v>
      </c>
      <c r="H7" s="11">
        <f t="shared" si="1"/>
        <v>4.1117999999999997</v>
      </c>
      <c r="I7" s="10">
        <v>77.8035</v>
      </c>
      <c r="J7" s="8">
        <v>150.42009999999999</v>
      </c>
      <c r="K7" s="11">
        <f t="shared" si="2"/>
        <v>114.11179999999999</v>
      </c>
    </row>
    <row r="8" spans="1:11" x14ac:dyDescent="0.25">
      <c r="A8" s="15">
        <v>7</v>
      </c>
      <c r="B8" s="9" t="s">
        <v>47</v>
      </c>
      <c r="C8" s="10">
        <v>20</v>
      </c>
      <c r="D8" s="8">
        <v>45</v>
      </c>
      <c r="E8" s="11">
        <f t="shared" si="0"/>
        <v>32.5</v>
      </c>
      <c r="F8" s="10">
        <v>0.74759999999999993</v>
      </c>
      <c r="G8" s="8">
        <v>1.6820999999999999</v>
      </c>
      <c r="H8" s="11">
        <f t="shared" si="1"/>
        <v>1.21485</v>
      </c>
      <c r="I8" s="10">
        <v>20.747599999999998</v>
      </c>
      <c r="J8" s="8">
        <v>46.682099999999998</v>
      </c>
      <c r="K8" s="11">
        <f t="shared" si="2"/>
        <v>33.714849999999998</v>
      </c>
    </row>
    <row r="9" spans="1:11" x14ac:dyDescent="0.25">
      <c r="A9" s="15">
        <v>8</v>
      </c>
      <c r="B9" s="9" t="s">
        <v>0</v>
      </c>
      <c r="C9" s="10">
        <v>35</v>
      </c>
      <c r="D9" s="8">
        <v>100</v>
      </c>
      <c r="E9" s="11">
        <f t="shared" si="0"/>
        <v>67.5</v>
      </c>
      <c r="F9" s="10">
        <v>0.43610000000000004</v>
      </c>
      <c r="G9" s="8">
        <v>1.246</v>
      </c>
      <c r="H9" s="11">
        <f t="shared" si="1"/>
        <v>0.84105000000000008</v>
      </c>
      <c r="I9" s="10">
        <v>35.436100000000003</v>
      </c>
      <c r="J9" s="8">
        <v>101.246</v>
      </c>
      <c r="K9" s="11">
        <f t="shared" si="2"/>
        <v>68.341049999999996</v>
      </c>
    </row>
    <row r="10" spans="1:11" x14ac:dyDescent="0.25">
      <c r="A10" s="15">
        <v>9</v>
      </c>
      <c r="B10" s="9" t="s">
        <v>5</v>
      </c>
      <c r="C10" s="10">
        <v>70</v>
      </c>
      <c r="D10" s="8">
        <v>180</v>
      </c>
      <c r="E10" s="11">
        <f t="shared" si="0"/>
        <v>125</v>
      </c>
      <c r="F10" s="10">
        <v>10.466399999999998</v>
      </c>
      <c r="G10" s="8">
        <v>26.913599999999999</v>
      </c>
      <c r="H10" s="11">
        <f t="shared" si="1"/>
        <v>18.689999999999998</v>
      </c>
      <c r="I10" s="10">
        <v>80.466399999999993</v>
      </c>
      <c r="J10" s="8">
        <v>206.9136</v>
      </c>
      <c r="K10" s="11">
        <f t="shared" si="2"/>
        <v>143.69</v>
      </c>
    </row>
    <row r="11" spans="1:11" x14ac:dyDescent="0.25">
      <c r="A11" s="15">
        <v>10</v>
      </c>
      <c r="B11" s="9" t="s">
        <v>20</v>
      </c>
      <c r="C11" s="10">
        <v>75</v>
      </c>
      <c r="D11" s="8">
        <v>150</v>
      </c>
      <c r="E11" s="11">
        <f t="shared" si="0"/>
        <v>112.5</v>
      </c>
      <c r="F11" s="10">
        <v>2.8034999999999997</v>
      </c>
      <c r="G11" s="8">
        <v>5.6069999999999993</v>
      </c>
      <c r="H11" s="11">
        <f t="shared" si="1"/>
        <v>4.2052499999999995</v>
      </c>
      <c r="I11" s="10">
        <v>77.8035</v>
      </c>
      <c r="J11" s="8">
        <v>155.607</v>
      </c>
      <c r="K11" s="11">
        <f t="shared" si="2"/>
        <v>116.70525000000001</v>
      </c>
    </row>
    <row r="12" spans="1:11" x14ac:dyDescent="0.25">
      <c r="A12" s="15">
        <v>11</v>
      </c>
      <c r="B12" s="9" t="s">
        <v>6</v>
      </c>
      <c r="C12" s="10">
        <v>115</v>
      </c>
      <c r="D12" s="8">
        <v>220</v>
      </c>
      <c r="E12" s="11">
        <f t="shared" si="0"/>
        <v>167.5</v>
      </c>
      <c r="F12" s="10">
        <v>8.5973999999999986</v>
      </c>
      <c r="G12" s="8">
        <v>16.447199999999999</v>
      </c>
      <c r="H12" s="11">
        <f t="shared" si="1"/>
        <v>12.522299999999998</v>
      </c>
      <c r="I12" s="10">
        <v>123.59739999999999</v>
      </c>
      <c r="J12" s="8">
        <v>236.44720000000001</v>
      </c>
      <c r="K12" s="11">
        <f t="shared" si="2"/>
        <v>180.0223</v>
      </c>
    </row>
    <row r="13" spans="1:11" x14ac:dyDescent="0.25">
      <c r="A13" s="15">
        <v>12</v>
      </c>
      <c r="B13" s="9" t="s">
        <v>7</v>
      </c>
      <c r="C13" s="10">
        <v>180</v>
      </c>
      <c r="D13" s="8">
        <v>420</v>
      </c>
      <c r="E13" s="11">
        <f t="shared" si="0"/>
        <v>300</v>
      </c>
      <c r="F13" s="10">
        <v>13.456799999999999</v>
      </c>
      <c r="G13" s="8">
        <v>31.399199999999997</v>
      </c>
      <c r="H13" s="11">
        <f t="shared" si="1"/>
        <v>22.427999999999997</v>
      </c>
      <c r="I13" s="10">
        <v>193.45679999999999</v>
      </c>
      <c r="J13" s="8">
        <v>451.39920000000001</v>
      </c>
      <c r="K13" s="11">
        <f t="shared" si="2"/>
        <v>322.428</v>
      </c>
    </row>
    <row r="14" spans="1:11" x14ac:dyDescent="0.25">
      <c r="A14" s="15">
        <v>13</v>
      </c>
      <c r="B14" s="9" t="s">
        <v>18</v>
      </c>
      <c r="C14" s="10">
        <v>60</v>
      </c>
      <c r="D14" s="8">
        <v>250</v>
      </c>
      <c r="E14" s="11">
        <f t="shared" si="0"/>
        <v>155</v>
      </c>
      <c r="F14" s="10">
        <v>0.29903999999999997</v>
      </c>
      <c r="G14" s="8">
        <v>1.246</v>
      </c>
      <c r="H14" s="11">
        <f t="shared" si="1"/>
        <v>0.77251999999999998</v>
      </c>
      <c r="I14" s="10">
        <v>60.299039999999998</v>
      </c>
      <c r="J14" s="8">
        <v>251.24600000000001</v>
      </c>
      <c r="K14" s="11">
        <f t="shared" si="2"/>
        <v>155.77252000000001</v>
      </c>
    </row>
    <row r="15" spans="1:11" x14ac:dyDescent="0.25">
      <c r="A15" s="15">
        <v>14</v>
      </c>
      <c r="B15" s="9" t="s">
        <v>3</v>
      </c>
      <c r="C15" s="10">
        <v>60</v>
      </c>
      <c r="D15" s="8">
        <v>120</v>
      </c>
      <c r="E15" s="11">
        <f t="shared" si="0"/>
        <v>90</v>
      </c>
      <c r="F15" s="10">
        <v>4.4855999999999998</v>
      </c>
      <c r="G15" s="8">
        <v>8.9711999999999996</v>
      </c>
      <c r="H15" s="11">
        <f t="shared" si="1"/>
        <v>6.7283999999999997</v>
      </c>
      <c r="I15" s="10">
        <v>64.485600000000005</v>
      </c>
      <c r="J15" s="8">
        <v>128.97120000000001</v>
      </c>
      <c r="K15" s="11">
        <f t="shared" si="2"/>
        <v>96.728400000000008</v>
      </c>
    </row>
    <row r="16" spans="1:11" x14ac:dyDescent="0.25">
      <c r="A16" s="15">
        <v>15</v>
      </c>
      <c r="B16" s="9" t="s">
        <v>11</v>
      </c>
      <c r="C16" s="10">
        <v>100</v>
      </c>
      <c r="D16" s="8">
        <v>185</v>
      </c>
      <c r="E16" s="11">
        <f t="shared" si="0"/>
        <v>142.5</v>
      </c>
      <c r="F16" s="10">
        <v>1.246</v>
      </c>
      <c r="G16" s="8">
        <v>2.3050999999999999</v>
      </c>
      <c r="H16" s="11">
        <f t="shared" si="1"/>
        <v>1.77555</v>
      </c>
      <c r="I16" s="10">
        <v>101.246</v>
      </c>
      <c r="J16" s="8">
        <v>187.30510000000001</v>
      </c>
      <c r="K16" s="11">
        <f t="shared" si="2"/>
        <v>144.27555000000001</v>
      </c>
    </row>
    <row r="17" spans="1:11" x14ac:dyDescent="0.25">
      <c r="A17" s="15">
        <v>16</v>
      </c>
      <c r="B17" s="9" t="s">
        <v>12</v>
      </c>
      <c r="C17" s="10">
        <v>60</v>
      </c>
      <c r="D17" s="8">
        <v>180</v>
      </c>
      <c r="E17" s="11">
        <f t="shared" si="0"/>
        <v>120</v>
      </c>
      <c r="F17" s="10">
        <v>2.2427999999999999</v>
      </c>
      <c r="G17" s="8">
        <v>6.7283999999999997</v>
      </c>
      <c r="H17" s="11">
        <f t="shared" si="1"/>
        <v>4.4855999999999998</v>
      </c>
      <c r="I17" s="10">
        <v>62.242800000000003</v>
      </c>
      <c r="J17" s="8">
        <v>186.72839999999999</v>
      </c>
      <c r="K17" s="11">
        <f t="shared" si="2"/>
        <v>124.48560000000001</v>
      </c>
    </row>
    <row r="18" spans="1:11" x14ac:dyDescent="0.25">
      <c r="A18" s="15">
        <v>17</v>
      </c>
      <c r="B18" s="9" t="s">
        <v>15</v>
      </c>
      <c r="C18" s="10">
        <v>35</v>
      </c>
      <c r="D18" s="8">
        <v>145</v>
      </c>
      <c r="E18" s="11">
        <f t="shared" si="0"/>
        <v>90</v>
      </c>
      <c r="F18" s="10">
        <v>2.1804999999999999</v>
      </c>
      <c r="G18" s="8">
        <v>9.0335000000000001</v>
      </c>
      <c r="H18" s="11">
        <f t="shared" si="1"/>
        <v>5.6070000000000002</v>
      </c>
      <c r="I18" s="10">
        <v>37.180500000000002</v>
      </c>
      <c r="J18" s="8">
        <v>154.0335</v>
      </c>
      <c r="K18" s="11">
        <f t="shared" si="2"/>
        <v>95.606999999999999</v>
      </c>
    </row>
    <row r="19" spans="1:11" x14ac:dyDescent="0.25">
      <c r="A19" s="15">
        <v>18</v>
      </c>
      <c r="B19" s="9" t="s">
        <v>17</v>
      </c>
      <c r="C19" s="10">
        <v>65</v>
      </c>
      <c r="D19" s="8">
        <v>300</v>
      </c>
      <c r="E19" s="11">
        <f t="shared" si="0"/>
        <v>182.5</v>
      </c>
      <c r="F19" s="10">
        <v>1.6198000000000001</v>
      </c>
      <c r="G19" s="8">
        <v>7.476</v>
      </c>
      <c r="H19" s="11">
        <f t="shared" si="1"/>
        <v>4.5479000000000003</v>
      </c>
      <c r="I19" s="10">
        <v>66.619799999999998</v>
      </c>
      <c r="J19" s="8">
        <v>307.476</v>
      </c>
      <c r="K19" s="11">
        <f t="shared" si="2"/>
        <v>187.0479</v>
      </c>
    </row>
    <row r="20" spans="1:11" x14ac:dyDescent="0.25">
      <c r="A20" s="15">
        <v>19</v>
      </c>
      <c r="B20" s="9" t="s">
        <v>19</v>
      </c>
      <c r="C20" s="10">
        <v>100</v>
      </c>
      <c r="D20" s="8">
        <v>235</v>
      </c>
      <c r="E20" s="11">
        <f t="shared" si="0"/>
        <v>167.5</v>
      </c>
      <c r="F20" s="10">
        <v>3.7379999999999995</v>
      </c>
      <c r="G20" s="8">
        <v>8.7843</v>
      </c>
      <c r="H20" s="11">
        <f t="shared" si="1"/>
        <v>6.2611499999999998</v>
      </c>
      <c r="I20" s="10">
        <v>103.738</v>
      </c>
      <c r="J20" s="8">
        <v>243.7843</v>
      </c>
      <c r="K20" s="11">
        <f t="shared" si="2"/>
        <v>173.76114999999999</v>
      </c>
    </row>
    <row r="21" spans="1:11" x14ac:dyDescent="0.25">
      <c r="A21" s="15">
        <v>20</v>
      </c>
      <c r="B21" s="9" t="s">
        <v>8</v>
      </c>
      <c r="C21" s="10">
        <v>0.21</v>
      </c>
      <c r="D21" s="8">
        <v>0.51</v>
      </c>
      <c r="E21" s="11">
        <f t="shared" si="0"/>
        <v>0.36</v>
      </c>
      <c r="F21" s="10">
        <v>1.3082999999999999E-2</v>
      </c>
      <c r="G21" s="8">
        <v>3.1773000000000003E-2</v>
      </c>
      <c r="H21" s="11">
        <f t="shared" si="1"/>
        <v>2.2428E-2</v>
      </c>
      <c r="I21" s="10">
        <v>0.223083</v>
      </c>
      <c r="J21" s="8">
        <v>0.54177300000000006</v>
      </c>
      <c r="K21" s="11">
        <f t="shared" si="2"/>
        <v>0.38242800000000005</v>
      </c>
    </row>
    <row r="22" spans="1:11" ht="15.75" thickBot="1" x14ac:dyDescent="0.3">
      <c r="A22" s="16">
        <v>21</v>
      </c>
      <c r="B22" s="17" t="s">
        <v>2</v>
      </c>
      <c r="C22" s="12">
        <v>90</v>
      </c>
      <c r="D22" s="13">
        <v>155</v>
      </c>
      <c r="E22" s="14">
        <f t="shared" si="0"/>
        <v>122.5</v>
      </c>
      <c r="F22" s="12">
        <v>3.3641999999999999</v>
      </c>
      <c r="G22" s="13">
        <v>5.7938999999999998</v>
      </c>
      <c r="H22" s="14">
        <f t="shared" si="1"/>
        <v>4.5790499999999996</v>
      </c>
      <c r="I22" s="12">
        <v>93.364199999999997</v>
      </c>
      <c r="J22" s="13">
        <v>160.79390000000001</v>
      </c>
      <c r="K22" s="14">
        <f t="shared" si="2"/>
        <v>127.07905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Barreras</vt:lpstr>
      <vt:lpstr>Desafios_Seguridad_Hidrica</vt:lpstr>
      <vt:lpstr>Desafios_Otros</vt:lpstr>
      <vt:lpstr>Cost</vt:lpstr>
      <vt:lpstr>FactorCost</vt:lpstr>
      <vt:lpstr>Categorias_Costos</vt:lpstr>
      <vt:lpstr>Matrix_CostEfe</vt:lpstr>
      <vt:lpstr>Cost_Fichas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Nogales Pimentel</dc:creator>
  <cp:lastModifiedBy>Jonathan Nogales Pimentel</cp:lastModifiedBy>
  <dcterms:created xsi:type="dcterms:W3CDTF">2025-11-02T02:14:05Z</dcterms:created>
  <dcterms:modified xsi:type="dcterms:W3CDTF">2025-11-04T01:33:32Z</dcterms:modified>
</cp:coreProperties>
</file>